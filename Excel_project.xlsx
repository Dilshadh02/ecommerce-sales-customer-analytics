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Data Analytics\"/>
    </mc:Choice>
  </mc:AlternateContent>
  <bookViews>
    <workbookView xWindow="0" yWindow="0" windowWidth="16785" windowHeight="7620" firstSheet="5" activeTab="6"/>
  </bookViews>
  <sheets>
    <sheet name="Monthly_Sales" sheetId="2" r:id="rId1"/>
    <sheet name="Category Performance" sheetId="3" r:id="rId2"/>
    <sheet name="Regional Performance" sheetId="4" r:id="rId3"/>
    <sheet name="Payment Analysis" sheetId="5" r:id="rId4"/>
    <sheet name="Sheet3" sheetId="7" r:id="rId5"/>
    <sheet name="Sheet4" sheetId="8" r:id="rId6"/>
    <sheet name="Customer Performance" sheetId="9" r:id="rId7"/>
    <sheet name="Sheet5" sheetId="10" r:id="rId8"/>
    <sheet name="Sheet6" sheetId="11" r:id="rId9"/>
    <sheet name="Sheet7" sheetId="12" r:id="rId10"/>
    <sheet name="Sheet1" sheetId="1" r:id="rId11"/>
    <sheet name="Dashboard_Starter" sheetId="6" r:id="rId12"/>
  </sheets>
  <definedNames>
    <definedName name="Slicer_Category">#N/A</definedName>
    <definedName name="Slicer_CustomerName">#N/A</definedName>
    <definedName name="Slicer_Payment">#N/A</definedName>
    <definedName name="Slicer_State">#N/A</definedName>
  </definedNames>
  <calcPr calcId="162913"/>
  <pivotCaches>
    <pivotCache cacheId="6"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4" i="6" l="1"/>
  <c r="I4" i="6"/>
  <c r="E4" i="6"/>
  <c r="W16" i="1" l="1"/>
  <c r="W8" i="1"/>
  <c r="W7" i="1"/>
  <c r="W6" i="1"/>
  <c r="P59" i="1" a="1"/>
  <c r="P52" i="1" a="1"/>
  <c r="P53" i="1" a="1"/>
  <c r="P54" i="1" a="1"/>
  <c r="P55" i="1" a="1"/>
  <c r="P56" i="1" a="1"/>
  <c r="P57" i="1" a="1"/>
  <c r="P58" i="1" a="1"/>
  <c r="P51" i="1" a="1"/>
  <c r="M52" i="1" a="1"/>
  <c r="M53" i="1" a="1"/>
  <c r="M54" i="1" a="1"/>
  <c r="M55" i="1" a="1"/>
  <c r="M56" i="1" a="1"/>
  <c r="M57" i="1" a="1"/>
  <c r="M58" i="1" a="1"/>
  <c r="M59" i="1" a="1"/>
  <c r="M51" i="1" a="1"/>
  <c r="M51" i="1" l="1"/>
  <c r="M59" i="1"/>
  <c r="M58" i="1"/>
  <c r="M57" i="1"/>
  <c r="M56" i="1"/>
  <c r="M55" i="1"/>
  <c r="M54" i="1"/>
  <c r="M53" i="1"/>
  <c r="M52" i="1"/>
  <c r="P51" i="1"/>
  <c r="P58" i="1"/>
  <c r="P57" i="1"/>
  <c r="P56" i="1"/>
  <c r="P55" i="1"/>
  <c r="P54" i="1"/>
  <c r="P53" i="1"/>
  <c r="P52" i="1"/>
  <c r="P59"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2" i="1"/>
  <c r="P3" i="1"/>
  <c r="Q3" i="1" s="1"/>
  <c r="P4" i="1"/>
  <c r="Q4" i="1" s="1"/>
  <c r="P5" i="1"/>
  <c r="Q5" i="1" s="1"/>
  <c r="P6" i="1"/>
  <c r="P7" i="1"/>
  <c r="Q7" i="1" s="1"/>
  <c r="P8" i="1"/>
  <c r="Q8" i="1" s="1"/>
  <c r="P9" i="1"/>
  <c r="Q9" i="1" s="1"/>
  <c r="P10" i="1"/>
  <c r="P11" i="1"/>
  <c r="Q11" i="1" s="1"/>
  <c r="P12" i="1"/>
  <c r="Q12" i="1" s="1"/>
  <c r="P13" i="1"/>
  <c r="Q13" i="1" s="1"/>
  <c r="P14" i="1"/>
  <c r="P15" i="1"/>
  <c r="Q15" i="1" s="1"/>
  <c r="P16" i="1"/>
  <c r="Q16" i="1" s="1"/>
  <c r="P17" i="1"/>
  <c r="Q17" i="1" s="1"/>
  <c r="P18" i="1"/>
  <c r="P19" i="1"/>
  <c r="Q19" i="1" s="1"/>
  <c r="P20" i="1"/>
  <c r="Q20" i="1" s="1"/>
  <c r="P21" i="1"/>
  <c r="Q21" i="1" s="1"/>
  <c r="P22" i="1"/>
  <c r="P23" i="1"/>
  <c r="Q23" i="1" s="1"/>
  <c r="P24" i="1"/>
  <c r="Q24" i="1" s="1"/>
  <c r="P25" i="1"/>
  <c r="Q25" i="1" s="1"/>
  <c r="P26" i="1"/>
  <c r="P27" i="1"/>
  <c r="Q27" i="1" s="1"/>
  <c r="P28" i="1"/>
  <c r="Q28" i="1" s="1"/>
  <c r="P29" i="1"/>
  <c r="Q29" i="1" s="1"/>
  <c r="P30" i="1"/>
  <c r="P31" i="1"/>
  <c r="Q31" i="1" s="1"/>
  <c r="P32" i="1"/>
  <c r="Q32" i="1" s="1"/>
  <c r="P33" i="1"/>
  <c r="Q33" i="1" s="1"/>
  <c r="P34" i="1"/>
  <c r="P35" i="1"/>
  <c r="Q35" i="1" s="1"/>
  <c r="P36" i="1"/>
  <c r="Q36" i="1" s="1"/>
  <c r="P37" i="1"/>
  <c r="Q37" i="1" s="1"/>
  <c r="P38" i="1"/>
  <c r="P39" i="1"/>
  <c r="Q39" i="1" s="1"/>
  <c r="P40" i="1"/>
  <c r="Q40" i="1" s="1"/>
  <c r="P41" i="1"/>
  <c r="Q41" i="1" s="1"/>
  <c r="P42" i="1"/>
  <c r="P43" i="1"/>
  <c r="Q43" i="1" s="1"/>
  <c r="P44" i="1"/>
  <c r="Q44" i="1" s="1"/>
  <c r="P45" i="1"/>
  <c r="Q45" i="1" s="1"/>
  <c r="P46" i="1"/>
  <c r="P2" i="1"/>
  <c r="Q2" i="1" s="1"/>
  <c r="W15" i="1" l="1"/>
  <c r="R43" i="1"/>
  <c r="T43" i="1" s="1"/>
  <c r="R35" i="1"/>
  <c r="T35" i="1" s="1"/>
  <c r="R27" i="1"/>
  <c r="T27" i="1" s="1"/>
  <c r="R19" i="1"/>
  <c r="T19" i="1" s="1"/>
  <c r="R11" i="1"/>
  <c r="T11" i="1" s="1"/>
  <c r="R3" i="1"/>
  <c r="R44" i="1"/>
  <c r="T44" i="1" s="1"/>
  <c r="R40" i="1"/>
  <c r="T40" i="1" s="1"/>
  <c r="R36" i="1"/>
  <c r="T36" i="1" s="1"/>
  <c r="R32" i="1"/>
  <c r="T32" i="1" s="1"/>
  <c r="R28" i="1"/>
  <c r="T28" i="1" s="1"/>
  <c r="R24" i="1"/>
  <c r="T24" i="1" s="1"/>
  <c r="R20" i="1"/>
  <c r="T20" i="1" s="1"/>
  <c r="R16" i="1"/>
  <c r="T16" i="1" s="1"/>
  <c r="R12" i="1"/>
  <c r="T12" i="1" s="1"/>
  <c r="R8" i="1"/>
  <c r="T8" i="1" s="1"/>
  <c r="R4" i="1"/>
  <c r="Q46" i="1"/>
  <c r="R46" i="1" s="1"/>
  <c r="T46" i="1" s="1"/>
  <c r="Q42" i="1"/>
  <c r="R42" i="1" s="1"/>
  <c r="T42" i="1" s="1"/>
  <c r="Q38" i="1"/>
  <c r="R38" i="1" s="1"/>
  <c r="T38" i="1" s="1"/>
  <c r="Q34" i="1"/>
  <c r="R34" i="1" s="1"/>
  <c r="T34" i="1" s="1"/>
  <c r="Q30" i="1"/>
  <c r="R30" i="1" s="1"/>
  <c r="T30" i="1" s="1"/>
  <c r="Q26" i="1"/>
  <c r="R26" i="1" s="1"/>
  <c r="T26" i="1" s="1"/>
  <c r="Q22" i="1"/>
  <c r="R22" i="1" s="1"/>
  <c r="T22" i="1" s="1"/>
  <c r="Q18" i="1"/>
  <c r="R18" i="1" s="1"/>
  <c r="T18" i="1" s="1"/>
  <c r="Q14" i="1"/>
  <c r="R14" i="1" s="1"/>
  <c r="T14" i="1" s="1"/>
  <c r="Q10" i="1"/>
  <c r="R10" i="1" s="1"/>
  <c r="T10" i="1" s="1"/>
  <c r="Q6" i="1"/>
  <c r="R6" i="1" s="1"/>
  <c r="R2" i="1"/>
  <c r="R39" i="1"/>
  <c r="T39" i="1" s="1"/>
  <c r="R31" i="1"/>
  <c r="T31" i="1" s="1"/>
  <c r="R23" i="1"/>
  <c r="T23" i="1" s="1"/>
  <c r="R15" i="1"/>
  <c r="T15" i="1" s="1"/>
  <c r="R7" i="1"/>
  <c r="T7" i="1" s="1"/>
  <c r="R45" i="1"/>
  <c r="T45" i="1" s="1"/>
  <c r="R41" i="1"/>
  <c r="T41" i="1" s="1"/>
  <c r="R37" i="1"/>
  <c r="T37" i="1" s="1"/>
  <c r="R33" i="1"/>
  <c r="T33" i="1" s="1"/>
  <c r="R29" i="1"/>
  <c r="T29" i="1" s="1"/>
  <c r="R25" i="1"/>
  <c r="T25" i="1" s="1"/>
  <c r="R21" i="1"/>
  <c r="T21" i="1" s="1"/>
  <c r="R17" i="1"/>
  <c r="T17" i="1" s="1"/>
  <c r="R13" i="1"/>
  <c r="T13" i="1" s="1"/>
  <c r="R9" i="1"/>
  <c r="T9" i="1" s="1"/>
  <c r="R5" i="1"/>
  <c r="T5" i="1" s="1"/>
  <c r="L4" i="6" l="1"/>
  <c r="A4" i="6"/>
  <c r="P4" i="6" a="1"/>
  <c r="P4" i="6" s="1"/>
  <c r="T6" i="1"/>
  <c r="T2" i="1"/>
  <c r="W14" i="1"/>
  <c r="W12" i="1"/>
  <c r="W4" i="1"/>
  <c r="W9" i="1"/>
  <c r="W5" i="1"/>
  <c r="W3" i="1"/>
  <c r="W2" i="1"/>
  <c r="T4" i="1"/>
  <c r="W13" i="1"/>
  <c r="W11" i="1"/>
  <c r="T3" i="1"/>
  <c r="W10" i="1"/>
  <c r="O53" i="1" a="1"/>
  <c r="O55" i="1" a="1"/>
  <c r="O57" i="1" a="1"/>
  <c r="O59" i="1" a="1"/>
  <c r="N52" i="1" a="1"/>
  <c r="N54" i="1" a="1"/>
  <c r="N56" i="1" a="1"/>
  <c r="N58" i="1" a="1"/>
  <c r="N51" i="1" a="1"/>
  <c r="O52" i="1" a="1"/>
  <c r="O54" i="1" a="1"/>
  <c r="O56" i="1" a="1"/>
  <c r="O58" i="1" a="1"/>
  <c r="O51" i="1" a="1"/>
  <c r="N53" i="1" a="1"/>
  <c r="N55" i="1" a="1"/>
  <c r="N57" i="1" a="1"/>
  <c r="N59" i="1" a="1"/>
  <c r="N59" i="1" l="1"/>
  <c r="N57" i="1"/>
  <c r="N55" i="1"/>
  <c r="N53" i="1"/>
  <c r="O51" i="1"/>
  <c r="O58" i="1"/>
  <c r="O56" i="1"/>
  <c r="O54" i="1"/>
  <c r="O52" i="1"/>
  <c r="N51" i="1"/>
  <c r="N58" i="1"/>
  <c r="N56" i="1"/>
  <c r="N54" i="1"/>
  <c r="N52" i="1"/>
  <c r="O59" i="1"/>
  <c r="O57" i="1"/>
  <c r="O55" i="1"/>
  <c r="O53" i="1"/>
</calcChain>
</file>

<file path=xl/sharedStrings.xml><?xml version="1.0" encoding="utf-8"?>
<sst xmlns="http://schemas.openxmlformats.org/spreadsheetml/2006/main" count="622" uniqueCount="156">
  <si>
    <t>OrderDate</t>
  </si>
  <si>
    <t>Sum of Net Sales</t>
  </si>
  <si>
    <t>Grand Total</t>
  </si>
  <si>
    <t>OrderID</t>
  </si>
  <si>
    <t>CustomerID</t>
  </si>
  <si>
    <t>CustomerName</t>
  </si>
  <si>
    <t>City</t>
  </si>
  <si>
    <t>State</t>
  </si>
  <si>
    <t>Region</t>
  </si>
  <si>
    <t>Product</t>
  </si>
  <si>
    <t>Category</t>
  </si>
  <si>
    <t>Quantity</t>
  </si>
  <si>
    <t>UnitPrice</t>
  </si>
  <si>
    <t>Discount</t>
  </si>
  <si>
    <t>Payment</t>
  </si>
  <si>
    <t>DeliveryDays</t>
  </si>
  <si>
    <t>OrderStatus</t>
  </si>
  <si>
    <t>Gross Sales</t>
  </si>
  <si>
    <t>Discount Amount</t>
  </si>
  <si>
    <t>Net Sales</t>
  </si>
  <si>
    <t>Delivery Status</t>
  </si>
  <si>
    <t>Sales Category</t>
  </si>
  <si>
    <t>Sales Summary</t>
  </si>
  <si>
    <t>ORD1001</t>
  </si>
  <si>
    <t>C101</t>
  </si>
  <si>
    <t>Arun Kumar</t>
  </si>
  <si>
    <t>Coimbatore</t>
  </si>
  <si>
    <t>Tamil Nadu</t>
  </si>
  <si>
    <t>South</t>
  </si>
  <si>
    <t>Laptop Pro 14</t>
  </si>
  <si>
    <t>Electronics</t>
  </si>
  <si>
    <t>UPI</t>
  </si>
  <si>
    <t>Delivered</t>
  </si>
  <si>
    <t>Total Net Sales</t>
  </si>
  <si>
    <t>ORD1002</t>
  </si>
  <si>
    <t>C102</t>
  </si>
  <si>
    <t>Priya S</t>
  </si>
  <si>
    <t>Chennai</t>
  </si>
  <si>
    <t>Office Chair</t>
  </si>
  <si>
    <t>Furniture</t>
  </si>
  <si>
    <t>Card</t>
  </si>
  <si>
    <t>Average Order Value</t>
  </si>
  <si>
    <t>ORD1003</t>
  </si>
  <si>
    <t>C103</t>
  </si>
  <si>
    <t>Ravi M</t>
  </si>
  <si>
    <t>Kochi</t>
  </si>
  <si>
    <t>Kerala</t>
  </si>
  <si>
    <t>Wireless Mouse</t>
  </si>
  <si>
    <t>Accessories</t>
  </si>
  <si>
    <t>Highest Order Value</t>
  </si>
  <si>
    <t>ORD1004</t>
  </si>
  <si>
    <t>C104</t>
  </si>
  <si>
    <t>Divya R</t>
  </si>
  <si>
    <t>Bengaluru</t>
  </si>
  <si>
    <t>Karnataka</t>
  </si>
  <si>
    <t>Monitor 24</t>
  </si>
  <si>
    <t>Lowest Order Value</t>
  </si>
  <si>
    <t>ORD1005</t>
  </si>
  <si>
    <t>C105</t>
  </si>
  <si>
    <t>Suresh P</t>
  </si>
  <si>
    <t>Madurai</t>
  </si>
  <si>
    <t>Keyboard</t>
  </si>
  <si>
    <t>Cash</t>
  </si>
  <si>
    <t>Total Quantity Sold</t>
  </si>
  <si>
    <t>ORD1006</t>
  </si>
  <si>
    <t>C106</t>
  </si>
  <si>
    <t>Meena K</t>
  </si>
  <si>
    <t>Number of Orders</t>
  </si>
  <si>
    <t>ORD1007</t>
  </si>
  <si>
    <t>C107</t>
  </si>
  <si>
    <t>Anitha V</t>
  </si>
  <si>
    <t>Office Desk</t>
  </si>
  <si>
    <t>Number of customers</t>
  </si>
  <si>
    <t>ORD1008</t>
  </si>
  <si>
    <t>C108</t>
  </si>
  <si>
    <t>Bala R</t>
  </si>
  <si>
    <t>Headset</t>
  </si>
  <si>
    <t>Sales from Electronics</t>
  </si>
  <si>
    <t>ORD1009</t>
  </si>
  <si>
    <t>C109</t>
  </si>
  <si>
    <t>Geetha S</t>
  </si>
  <si>
    <t>Sales from Furniture</t>
  </si>
  <si>
    <t>ORD1010</t>
  </si>
  <si>
    <t>C110</t>
  </si>
  <si>
    <t>Printer</t>
  </si>
  <si>
    <t>Sales from Accessories</t>
  </si>
  <si>
    <t>ORD1011</t>
  </si>
  <si>
    <t>Sales from Tamil Nadu</t>
  </si>
  <si>
    <t>ORD1012</t>
  </si>
  <si>
    <t>Sales from Kerala</t>
  </si>
  <si>
    <t>ORD1013</t>
  </si>
  <si>
    <t>Sales generated through UPI</t>
  </si>
  <si>
    <t>ORD1014</t>
  </si>
  <si>
    <t>Number of delayed orders</t>
  </si>
  <si>
    <t>ORD1015</t>
  </si>
  <si>
    <t>Average Delivery Days</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</si>
  <si>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</si>
  <si>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</si>
  <si>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</si>
  <si>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</si>
  <si>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</si>
  <si>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</si>
  <si>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</si>
  <si>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</si>
  <si>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</si>
  <si>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</si>
  <si>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</si>
  <si>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</si>
  <si>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</si>
  <si>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</si>
  <si>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</si>
  <si>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</si>
  <si>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</si>
  <si>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</si>
  <si>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</si>
  <si>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</si>
  <si>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</si>
  <si>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</si>
  <si>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</si>
  <si>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</si>
  <si>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</si>
  <si>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</si>
  <si>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</si>
  <si>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</si>
  <si>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</si>
  <si>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</si>
  <si>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Customer</t>
  </si>
  <si>
    <t>Total Orders</t>
  </si>
  <si>
    <t>Total Sales</t>
  </si>
  <si>
    <t>Jan</t>
  </si>
  <si>
    <t>Feb</t>
  </si>
  <si>
    <t>Mar</t>
  </si>
  <si>
    <t>Apr</t>
  </si>
  <si>
    <t>May</t>
  </si>
  <si>
    <t>Jun</t>
  </si>
  <si>
    <t>Jul</t>
  </si>
  <si>
    <t>Aug</t>
  </si>
  <si>
    <t>Sep</t>
  </si>
  <si>
    <t>Monthly Sales</t>
  </si>
  <si>
    <t>Row Labels</t>
  </si>
  <si>
    <t>Sum of Quantity</t>
  </si>
  <si>
    <t>Category Performance</t>
  </si>
  <si>
    <t>Regional Performance</t>
  </si>
  <si>
    <t>Count of OrderID</t>
  </si>
  <si>
    <t>Payment Analysis</t>
  </si>
  <si>
    <t>E-Commerce Sales Dashboard</t>
  </si>
  <si>
    <t>Total Quantity</t>
  </si>
  <si>
    <t>Top Product</t>
  </si>
  <si>
    <t xml:space="preserve">Total Revenue Generated </t>
  </si>
  <si>
    <t>Total Order Processed</t>
  </si>
  <si>
    <t>Total Units Sold</t>
  </si>
  <si>
    <t>Top Performing Category</t>
  </si>
  <si>
    <t>Order Turnaround Time</t>
  </si>
  <si>
    <t xml:space="preserve">Average Basket Value </t>
  </si>
  <si>
    <t>S</t>
  </si>
  <si>
    <t>Customer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</si>
</sst>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 #,##0.00"/>
    <numFmt numFmtId="165" formatCode="&quot;₹&quot;\ #,##0"/>
    <numFmt numFmtId="166" formatCode="[$₹-4009]\ #,##0"/>
    <numFmt numFmtId="167" formatCode="[$-409]d\-mmm\-yyyy;@"/>
  </numFmts>
  <fonts count="7" x14ac:knownFonts="1">
    <font>
      <sz val="11"/>
      <color theme="1"/>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b/>
      <sz val="11"/>
      <color theme="0"/>
      <name val="Calibri"/>
      <family val="2"/>
      <scheme val="minor"/>
    </font>
    <font>
      <b/>
      <sz val="12"/>
      <color theme="1"/>
      <name val="Calibri"/>
      <family val="2"/>
      <scheme val="minor"/>
    </font>
  </fonts>
  <fills count="11">
    <fill>
      <patternFill patternType="none"/>
    </fill>
    <fill>
      <patternFill patternType="gray125"/>
    </fill>
    <fill>
      <patternFill patternType="solid">
        <fgColor rgb="FF66FFFF"/>
        <bgColor indexed="64"/>
      </patternFill>
    </fill>
    <fill>
      <patternFill patternType="solid">
        <fgColor rgb="FFCCFFCC"/>
        <bgColor indexed="64"/>
      </patternFill>
    </fill>
    <fill>
      <patternFill patternType="solid">
        <fgColor rgb="FFFFFF99"/>
        <bgColor indexed="64"/>
      </patternFill>
    </fill>
    <fill>
      <patternFill patternType="solid">
        <fgColor rgb="FF99CCFF"/>
        <bgColor indexed="64"/>
      </patternFill>
    </fill>
    <fill>
      <patternFill patternType="solid">
        <fgColor rgb="FF9999FF"/>
        <bgColor indexed="64"/>
      </patternFill>
    </fill>
    <fill>
      <patternFill patternType="solid">
        <fgColor rgb="FFFFCCCC"/>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left>
      <right style="thin">
        <color theme="0"/>
      </right>
      <top style="thin">
        <color theme="0"/>
      </top>
      <bottom/>
      <diagonal/>
    </border>
    <border>
      <left/>
      <right style="thin">
        <color theme="0"/>
      </right>
      <top style="thin">
        <color theme="0"/>
      </top>
      <bottom/>
      <diagonal/>
    </border>
  </borders>
  <cellStyleXfs count="1">
    <xf numFmtId="0" fontId="0" fillId="0" borderId="0"/>
  </cellStyleXfs>
  <cellXfs count="105">
    <xf numFmtId="0" fontId="0" fillId="0" borderId="0" xfId="0"/>
    <xf numFmtId="9" fontId="0" fillId="0" borderId="0" xfId="0" applyNumberFormat="1"/>
    <xf numFmtId="0" fontId="1" fillId="0" borderId="0" xfId="0" applyFont="1"/>
    <xf numFmtId="9" fontId="1" fillId="0" borderId="0" xfId="0" applyNumberFormat="1" applyFont="1"/>
    <xf numFmtId="49" fontId="1" fillId="0" borderId="0" xfId="0" applyNumberFormat="1" applyFont="1"/>
    <xf numFmtId="49" fontId="0" fillId="0" borderId="0" xfId="0" applyNumberFormat="1"/>
    <xf numFmtId="0" fontId="1" fillId="0" borderId="0" xfId="0" applyNumberFormat="1" applyFont="1"/>
    <xf numFmtId="0" fontId="0" fillId="0" borderId="0" xfId="0" applyNumberFormat="1"/>
    <xf numFmtId="0" fontId="1" fillId="0" borderId="0" xfId="0" applyFont="1" applyAlignment="1">
      <alignment wrapText="1"/>
    </xf>
    <xf numFmtId="0" fontId="0" fillId="0" borderId="1" xfId="0" applyBorder="1"/>
    <xf numFmtId="165" fontId="0" fillId="0" borderId="1" xfId="0" applyNumberFormat="1" applyBorder="1"/>
    <xf numFmtId="164" fontId="0" fillId="0" borderId="1" xfId="0" applyNumberFormat="1" applyBorder="1"/>
    <xf numFmtId="2" fontId="0" fillId="0" borderId="1" xfId="0" applyNumberFormat="1" applyBorder="1"/>
    <xf numFmtId="167" fontId="1" fillId="0" borderId="0" xfId="0" applyNumberFormat="1" applyFont="1"/>
    <xf numFmtId="167" fontId="0" fillId="0" borderId="0" xfId="0" applyNumberFormat="1"/>
    <xf numFmtId="0" fontId="0" fillId="0" borderId="1" xfId="0" pivotButton="1" applyBorder="1"/>
    <xf numFmtId="14" fontId="0" fillId="0" borderId="1" xfId="0" applyNumberFormat="1" applyBorder="1"/>
    <xf numFmtId="0" fontId="0" fillId="0" borderId="1" xfId="0" applyNumberFormat="1" applyBorder="1"/>
    <xf numFmtId="0" fontId="0" fillId="0" borderId="1" xfId="0" applyBorder="1" applyAlignment="1">
      <alignment horizontal="left"/>
    </xf>
    <xf numFmtId="0" fontId="0" fillId="0" borderId="0" xfId="0" applyBorder="1"/>
    <xf numFmtId="9" fontId="1" fillId="0" borderId="4" xfId="0" applyNumberFormat="1" applyFont="1" applyBorder="1"/>
    <xf numFmtId="0" fontId="1" fillId="0" borderId="4" xfId="0" applyFont="1" applyBorder="1"/>
    <xf numFmtId="0" fontId="1" fillId="0" borderId="5" xfId="0" applyFont="1" applyBorder="1"/>
    <xf numFmtId="0" fontId="1" fillId="0" borderId="4" xfId="0" applyFont="1" applyBorder="1" applyAlignment="1">
      <alignment wrapText="1"/>
    </xf>
    <xf numFmtId="0" fontId="1" fillId="0" borderId="4" xfId="0" applyNumberFormat="1" applyFont="1" applyBorder="1"/>
    <xf numFmtId="9" fontId="0" fillId="0" borderId="4" xfId="0" applyNumberFormat="1" applyBorder="1"/>
    <xf numFmtId="0" fontId="0" fillId="0" borderId="4" xfId="0" applyBorder="1"/>
    <xf numFmtId="166" fontId="0" fillId="0" borderId="5" xfId="0" applyNumberFormat="1" applyBorder="1"/>
    <xf numFmtId="0" fontId="0" fillId="0" borderId="4" xfId="0" applyNumberFormat="1" applyBorder="1"/>
    <xf numFmtId="9" fontId="0" fillId="0" borderId="6" xfId="0" applyNumberFormat="1" applyBorder="1"/>
    <xf numFmtId="0" fontId="0" fillId="0" borderId="6" xfId="0" applyBorder="1"/>
    <xf numFmtId="166" fontId="0" fillId="0" borderId="7" xfId="0" applyNumberFormat="1" applyBorder="1"/>
    <xf numFmtId="0" fontId="0" fillId="0" borderId="6" xfId="0" applyNumberFormat="1" applyBorder="1"/>
    <xf numFmtId="166" fontId="0" fillId="0" borderId="4" xfId="0" applyNumberFormat="1" applyBorder="1"/>
    <xf numFmtId="0" fontId="3" fillId="0" borderId="0" xfId="0" applyFont="1" applyAlignment="1">
      <alignment horizontal="centerContinuous"/>
    </xf>
    <xf numFmtId="0" fontId="4" fillId="2" borderId="8" xfId="0" applyFont="1" applyFill="1" applyBorder="1" applyAlignment="1">
      <alignment horizontal="centerContinuous"/>
    </xf>
    <xf numFmtId="0" fontId="4" fillId="2" borderId="9" xfId="0" applyFont="1" applyFill="1" applyBorder="1" applyAlignment="1">
      <alignment horizontal="centerContinuous"/>
    </xf>
    <xf numFmtId="0" fontId="4" fillId="2" borderId="10" xfId="0" applyFont="1" applyFill="1" applyBorder="1" applyAlignment="1">
      <alignment horizontal="centerContinuous"/>
    </xf>
    <xf numFmtId="1" fontId="2" fillId="2" borderId="11" xfId="0" applyNumberFormat="1" applyFont="1" applyFill="1" applyBorder="1" applyAlignment="1">
      <alignment horizontal="centerContinuous"/>
    </xf>
    <xf numFmtId="2" fontId="4" fillId="2" borderId="0" xfId="0" applyNumberFormat="1" applyFont="1" applyFill="1" applyBorder="1" applyAlignment="1">
      <alignment horizontal="centerContinuous"/>
    </xf>
    <xf numFmtId="2" fontId="4" fillId="2" borderId="12" xfId="0" applyNumberFormat="1" applyFont="1" applyFill="1" applyBorder="1" applyAlignment="1">
      <alignment horizontal="centerContinuous"/>
    </xf>
    <xf numFmtId="0" fontId="0" fillId="2" borderId="13" xfId="0" applyFill="1" applyBorder="1" applyAlignment="1">
      <alignment horizontal="centerContinuous"/>
    </xf>
    <xf numFmtId="0" fontId="0" fillId="2" borderId="14" xfId="0" applyFill="1" applyBorder="1" applyAlignment="1">
      <alignment horizontal="centerContinuous"/>
    </xf>
    <xf numFmtId="0" fontId="0" fillId="2" borderId="15" xfId="0" applyFill="1" applyBorder="1" applyAlignment="1">
      <alignment horizontal="centerContinuous"/>
    </xf>
    <xf numFmtId="0" fontId="4" fillId="3" borderId="8" xfId="0" applyFont="1" applyFill="1" applyBorder="1" applyAlignment="1">
      <alignment horizontal="centerContinuous"/>
    </xf>
    <xf numFmtId="0" fontId="4" fillId="3" borderId="10" xfId="0" applyFont="1" applyFill="1" applyBorder="1" applyAlignment="1">
      <alignment horizontal="centerContinuous"/>
    </xf>
    <xf numFmtId="1" fontId="2" fillId="3" borderId="11" xfId="0" applyNumberFormat="1" applyFont="1" applyFill="1" applyBorder="1" applyAlignment="1">
      <alignment horizontal="centerContinuous"/>
    </xf>
    <xf numFmtId="2" fontId="4" fillId="3" borderId="12" xfId="0" applyNumberFormat="1" applyFont="1" applyFill="1" applyBorder="1" applyAlignment="1">
      <alignment horizontal="centerContinuous"/>
    </xf>
    <xf numFmtId="0" fontId="0" fillId="3" borderId="13" xfId="0" applyFill="1" applyBorder="1" applyAlignment="1">
      <alignment horizontal="centerContinuous"/>
    </xf>
    <xf numFmtId="0" fontId="0" fillId="3" borderId="15" xfId="0" applyFill="1" applyBorder="1" applyAlignment="1">
      <alignment horizontal="centerContinuous"/>
    </xf>
    <xf numFmtId="0" fontId="4" fillId="4" borderId="8" xfId="0" applyFont="1" applyFill="1" applyBorder="1" applyAlignment="1">
      <alignment horizontal="centerContinuous"/>
    </xf>
    <xf numFmtId="0" fontId="4" fillId="4" borderId="9" xfId="0" applyFont="1" applyFill="1" applyBorder="1" applyAlignment="1">
      <alignment horizontal="centerContinuous"/>
    </xf>
    <xf numFmtId="0" fontId="4" fillId="4" borderId="10" xfId="0" applyFont="1" applyFill="1" applyBorder="1" applyAlignment="1">
      <alignment horizontal="centerContinuous"/>
    </xf>
    <xf numFmtId="2" fontId="2" fillId="4" borderId="11" xfId="0" applyNumberFormat="1" applyFont="1" applyFill="1" applyBorder="1" applyAlignment="1">
      <alignment horizontal="centerContinuous"/>
    </xf>
    <xf numFmtId="2" fontId="4" fillId="4" borderId="0" xfId="0" applyNumberFormat="1" applyFont="1" applyFill="1" applyBorder="1" applyAlignment="1">
      <alignment horizontal="centerContinuous"/>
    </xf>
    <xf numFmtId="2" fontId="4" fillId="4" borderId="12" xfId="0" applyNumberFormat="1" applyFont="1" applyFill="1" applyBorder="1" applyAlignment="1">
      <alignment horizontal="centerContinuous"/>
    </xf>
    <xf numFmtId="0" fontId="0" fillId="4" borderId="13" xfId="0" applyFill="1" applyBorder="1" applyAlignment="1">
      <alignment horizontal="centerContinuous"/>
    </xf>
    <xf numFmtId="0" fontId="0" fillId="4" borderId="14" xfId="0" applyFill="1" applyBorder="1" applyAlignment="1">
      <alignment horizontal="centerContinuous"/>
    </xf>
    <xf numFmtId="0" fontId="0" fillId="4" borderId="15" xfId="0" applyFill="1" applyBorder="1" applyAlignment="1">
      <alignment horizontal="centerContinuous"/>
    </xf>
    <xf numFmtId="0" fontId="4" fillId="5" borderId="8" xfId="0" applyFont="1" applyFill="1" applyBorder="1" applyAlignment="1">
      <alignment horizontal="centerContinuous"/>
    </xf>
    <xf numFmtId="0" fontId="0" fillId="5" borderId="9" xfId="0" applyFill="1" applyBorder="1" applyAlignment="1">
      <alignment horizontal="centerContinuous"/>
    </xf>
    <xf numFmtId="0" fontId="0" fillId="5" borderId="10" xfId="0" applyFill="1" applyBorder="1" applyAlignment="1">
      <alignment horizontal="centerContinuous"/>
    </xf>
    <xf numFmtId="49" fontId="2" fillId="5" borderId="11" xfId="0" applyNumberFormat="1" applyFont="1" applyFill="1" applyBorder="1" applyAlignment="1">
      <alignment horizontal="centerContinuous"/>
    </xf>
    <xf numFmtId="2" fontId="4" fillId="5" borderId="0" xfId="0" applyNumberFormat="1" applyFont="1" applyFill="1" applyBorder="1" applyAlignment="1">
      <alignment horizontal="centerContinuous"/>
    </xf>
    <xf numFmtId="2" fontId="4" fillId="5" borderId="12" xfId="0" applyNumberFormat="1" applyFont="1" applyFill="1" applyBorder="1" applyAlignment="1">
      <alignment horizontal="centerContinuous"/>
    </xf>
    <xf numFmtId="0" fontId="0" fillId="5" borderId="13" xfId="0" applyFill="1" applyBorder="1" applyAlignment="1">
      <alignment horizontal="centerContinuous"/>
    </xf>
    <xf numFmtId="0" fontId="0" fillId="5" borderId="14" xfId="0" applyFill="1" applyBorder="1" applyAlignment="1">
      <alignment horizontal="centerContinuous"/>
    </xf>
    <xf numFmtId="0" fontId="0" fillId="5" borderId="15" xfId="0" applyFill="1" applyBorder="1" applyAlignment="1">
      <alignment horizontal="centerContinuous"/>
    </xf>
    <xf numFmtId="0" fontId="4" fillId="6" borderId="8" xfId="0" applyFont="1" applyFill="1" applyBorder="1" applyAlignment="1">
      <alignment horizontal="centerContinuous"/>
    </xf>
    <xf numFmtId="0" fontId="4" fillId="6" borderId="9" xfId="0" applyFont="1" applyFill="1" applyBorder="1" applyAlignment="1">
      <alignment horizontal="centerContinuous"/>
    </xf>
    <xf numFmtId="0" fontId="4" fillId="6" borderId="10" xfId="0" applyFont="1" applyFill="1" applyBorder="1" applyAlignment="1">
      <alignment horizontal="centerContinuous"/>
    </xf>
    <xf numFmtId="1" fontId="2" fillId="6" borderId="11" xfId="0" applyNumberFormat="1" applyFont="1" applyFill="1" applyBorder="1" applyAlignment="1">
      <alignment horizontal="centerContinuous"/>
    </xf>
    <xf numFmtId="2" fontId="4" fillId="6" borderId="0" xfId="0" applyNumberFormat="1" applyFont="1" applyFill="1" applyBorder="1" applyAlignment="1">
      <alignment horizontal="centerContinuous"/>
    </xf>
    <xf numFmtId="2" fontId="4" fillId="6" borderId="12" xfId="0" applyNumberFormat="1" applyFont="1" applyFill="1" applyBorder="1" applyAlignment="1">
      <alignment horizontal="centerContinuous"/>
    </xf>
    <xf numFmtId="0" fontId="0" fillId="6" borderId="13" xfId="0" applyFill="1" applyBorder="1" applyAlignment="1">
      <alignment horizontal="centerContinuous"/>
    </xf>
    <xf numFmtId="0" fontId="0" fillId="6" borderId="14" xfId="0" applyFill="1" applyBorder="1" applyAlignment="1">
      <alignment horizontal="centerContinuous"/>
    </xf>
    <xf numFmtId="0" fontId="0" fillId="6" borderId="15" xfId="0" applyFill="1" applyBorder="1" applyAlignment="1">
      <alignment horizontal="centerContinuous"/>
    </xf>
    <xf numFmtId="2" fontId="4" fillId="7" borderId="12" xfId="0" applyNumberFormat="1" applyFont="1" applyFill="1" applyBorder="1" applyAlignment="1">
      <alignment horizontal="centerContinuous"/>
    </xf>
    <xf numFmtId="0" fontId="4" fillId="7" borderId="8" xfId="0" applyFont="1" applyFill="1" applyBorder="1" applyAlignment="1">
      <alignment horizontal="centerContinuous"/>
    </xf>
    <xf numFmtId="0" fontId="0" fillId="7" borderId="9" xfId="0" applyFill="1" applyBorder="1" applyAlignment="1">
      <alignment horizontal="centerContinuous"/>
    </xf>
    <xf numFmtId="0" fontId="0" fillId="7" borderId="10" xfId="0" applyFill="1" applyBorder="1" applyAlignment="1">
      <alignment horizontal="centerContinuous"/>
    </xf>
    <xf numFmtId="165" fontId="2" fillId="7" borderId="11" xfId="0" applyNumberFormat="1" applyFont="1" applyFill="1" applyBorder="1" applyAlignment="1">
      <alignment horizontal="centerContinuous"/>
    </xf>
    <xf numFmtId="2" fontId="4" fillId="7" borderId="0" xfId="0" applyNumberFormat="1" applyFont="1" applyFill="1" applyBorder="1" applyAlignment="1">
      <alignment horizontal="centerContinuous"/>
    </xf>
    <xf numFmtId="0" fontId="0" fillId="7" borderId="13" xfId="0" applyFill="1" applyBorder="1" applyAlignment="1">
      <alignment horizontal="centerContinuous"/>
    </xf>
    <xf numFmtId="0" fontId="0" fillId="7" borderId="14" xfId="0" applyFill="1" applyBorder="1" applyAlignment="1">
      <alignment horizontal="centerContinuous"/>
    </xf>
    <xf numFmtId="0" fontId="0" fillId="7" borderId="15" xfId="0" applyFill="1" applyBorder="1" applyAlignment="1">
      <alignment horizontal="centerContinuous"/>
    </xf>
    <xf numFmtId="0" fontId="0" fillId="0" borderId="0" xfId="0" pivotButton="1"/>
    <xf numFmtId="0" fontId="0" fillId="0" borderId="0" xfId="0" applyAlignment="1">
      <alignment horizontal="left"/>
    </xf>
    <xf numFmtId="10" fontId="0" fillId="0" borderId="0" xfId="0" applyNumberFormat="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5" fillId="9" borderId="16" xfId="0" applyFont="1" applyFill="1" applyBorder="1"/>
    <xf numFmtId="0" fontId="5" fillId="9" borderId="17" xfId="0" applyFont="1" applyFill="1" applyBorder="1"/>
    <xf numFmtId="0" fontId="0" fillId="10" borderId="18" xfId="0" applyFont="1" applyFill="1" applyBorder="1"/>
    <xf numFmtId="0" fontId="0" fillId="10" borderId="19" xfId="0" applyFont="1" applyFill="1" applyBorder="1"/>
    <xf numFmtId="0" fontId="0" fillId="8" borderId="18" xfId="0" applyFont="1" applyFill="1" applyBorder="1"/>
    <xf numFmtId="0" fontId="0" fillId="8" borderId="19" xfId="0" applyFont="1" applyFill="1" applyBorder="1"/>
    <xf numFmtId="0" fontId="6" fillId="0" borderId="2" xfId="0" applyFont="1" applyBorder="1" applyAlignment="1">
      <alignment horizontal="center"/>
    </xf>
    <xf numFmtId="0" fontId="6" fillId="0" borderId="20" xfId="0" applyFont="1" applyBorder="1" applyAlignment="1">
      <alignment horizontal="center"/>
    </xf>
    <xf numFmtId="0" fontId="6" fillId="0" borderId="3" xfId="0" applyFont="1" applyBorder="1" applyAlignment="1">
      <alignment horizontal="center"/>
    </xf>
    <xf numFmtId="165" fontId="0" fillId="0" borderId="0" xfId="0" applyNumberFormat="1"/>
    <xf numFmtId="0" fontId="0" fillId="8" borderId="21" xfId="0" applyFont="1" applyFill="1" applyBorder="1"/>
    <xf numFmtId="0" fontId="0" fillId="8" borderId="22" xfId="0" applyFont="1" applyFill="1" applyBorder="1"/>
    <xf numFmtId="14" fontId="0" fillId="0" borderId="0" xfId="0" applyNumberFormat="1" applyAlignment="1">
      <alignment horizontal="left"/>
    </xf>
  </cellXfs>
  <cellStyles count="1">
    <cellStyle name="Normal" xfId="0" builtinId="0"/>
  </cellStyles>
  <dxfs count="20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 #,##0"/>
    </dxf>
    <dxf>
      <numFmt numFmtId="165" formatCode="&quot;₹&quot;\ #,##0"/>
    </dxf>
    <dxf>
      <numFmt numFmtId="165" formatCode="&quot;₹&quot;\ #,##0"/>
    </dxf>
    <dxf>
      <numFmt numFmtId="165" formatCode="&quot;₹&quot;\ #,##0"/>
    </dxf>
    <dxf>
      <numFmt numFmtId="3" formatCode="#,##0"/>
    </dxf>
    <dxf>
      <numFmt numFmtId="3" formatCode="#,##0"/>
    </dxf>
    <dxf>
      <numFmt numFmtId="3" formatCode="#,##0"/>
    </dxf>
    <dxf>
      <numFmt numFmtId="3" formatCode="#,##0"/>
    </dxf>
    <dxf>
      <numFmt numFmtId="3" formatCode="#,##0"/>
    </dxf>
    <dxf>
      <numFmt numFmtId="3" formatCode="#,##0"/>
    </dxf>
    <dxf>
      <numFmt numFmtId="165" formatCode="&quot;₹&quot;\ #,##0"/>
    </dxf>
    <dxf>
      <numFmt numFmtId="165"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bottom/>
      </border>
    </dxf>
    <dxf>
      <border>
        <left/>
        <right/>
        <bottom/>
      </border>
    </dxf>
    <dxf>
      <border>
        <left/>
        <right/>
        <bottom/>
      </border>
    </dxf>
    <dxf>
      <border>
        <left/>
        <right/>
        <bottom/>
      </border>
    </dxf>
    <dxf>
      <border>
        <left/>
        <right/>
        <bottom/>
      </border>
    </dxf>
    <dxf>
      <border>
        <left/>
        <right/>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bottom/>
      </border>
    </dxf>
    <dxf>
      <border>
        <left/>
        <right/>
        <bottom/>
      </border>
    </dxf>
    <dxf>
      <border>
        <left/>
        <right/>
        <bottom/>
      </border>
    </dxf>
    <dxf>
      <border>
        <left/>
        <right/>
        <bottom/>
      </border>
    </dxf>
    <dxf>
      <border>
        <left/>
        <right/>
        <bottom/>
      </border>
    </dxf>
    <dxf>
      <border>
        <left/>
        <right/>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3" formatCode="0%"/>
    </dxf>
    <dxf>
      <numFmt numFmtId="30" formatCode="@"/>
    </dxf>
    <dxf>
      <numFmt numFmtId="30" formatCode="@"/>
    </dxf>
    <dxf>
      <numFmt numFmtId="30" formatCode="@"/>
    </dxf>
    <dxf>
      <numFmt numFmtId="167" formatCode="[$-409]d\-mmm\-yyyy;@"/>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color rgb="FF9C0006"/>
      </font>
      <fill>
        <patternFill>
          <bgColor rgb="FFFFC7CE"/>
        </patternFill>
      </fill>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 #,##0.0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right/>
        <bottom/>
      </border>
    </dxf>
    <dxf>
      <border>
        <left/>
        <right/>
        <bottom/>
      </border>
    </dxf>
    <dxf>
      <border>
        <left/>
        <right/>
        <bottom/>
      </border>
    </dxf>
    <dxf>
      <border>
        <left/>
        <right/>
        <bottom/>
      </border>
    </dxf>
    <dxf>
      <border>
        <left/>
        <right/>
        <bottom/>
      </border>
    </dxf>
    <dxf>
      <border>
        <left/>
        <right/>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FFCCCC"/>
      <color rgb="FF9999FF"/>
      <color rgb="FF99CCFF"/>
      <color rgb="FFFFFF99"/>
      <color rgb="FFCCFFCC"/>
      <color rgb="FF66FF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[Excel_project.xlsx]Monthly_Sales!PivotTable2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Monthly_Sales!$A$4:$A$13</c:f>
              <c:strCache>
                <c:ptCount val="9"/>
                <c:pt idx="0">
                  <c:v>Jan</c:v>
                </c:pt>
                <c:pt idx="1">
                  <c:v>Feb</c:v>
                </c:pt>
                <c:pt idx="2">
                  <c:v>Mar</c:v>
                </c:pt>
                <c:pt idx="3">
                  <c:v>Apr</c:v>
                </c:pt>
                <c:pt idx="4">
                  <c:v>May</c:v>
                </c:pt>
                <c:pt idx="5">
                  <c:v>Jun</c:v>
                </c:pt>
                <c:pt idx="6">
                  <c:v>Jul</c:v>
                </c:pt>
                <c:pt idx="7">
                  <c:v>Aug</c:v>
                </c:pt>
                <c:pt idx="8">
                  <c:v>Sep</c:v>
                </c:pt>
              </c:strCache>
            </c:strRef>
          </c:cat>
          <c:val>
            <c:numRef>
              <c:f>Monthly_Sales!$B$4:$B$13</c:f>
              <c:numCache>
                <c:formatCode>"₹"\ #,##0.00</c:formatCode>
                <c:ptCount val="9"/>
                <c:pt idx="0">
                  <c:v>185970</c:v>
                </c:pt>
                <c:pt idx="1">
                  <c:v>169730</c:v>
                </c:pt>
                <c:pt idx="2">
                  <c:v>159170</c:v>
                </c:pt>
                <c:pt idx="3">
                  <c:v>183460</c:v>
                </c:pt>
                <c:pt idx="4">
                  <c:v>162330</c:v>
                </c:pt>
                <c:pt idx="5">
                  <c:v>120315</c:v>
                </c:pt>
                <c:pt idx="6">
                  <c:v>157510</c:v>
                </c:pt>
                <c:pt idx="7">
                  <c:v>172755</c:v>
                </c:pt>
                <c:pt idx="8">
                  <c:v>202880</c:v>
                </c:pt>
              </c:numCache>
            </c:numRef>
          </c:val>
          <c:smooth val="0"/>
          <c:extLst>
            <c:ext xmlns:c16="http://schemas.microsoft.com/office/drawing/2014/chart" uri="{C3380CC4-5D6E-409C-BE32-E72D297353CC}">
              <c16:uniqueId val="{00000000-6D88-4F29-B825-38F1CCB28413}"/>
            </c:ext>
          </c:extLst>
        </c:ser>
        <c:dLbls>
          <c:showLegendKey val="0"/>
          <c:showVal val="0"/>
          <c:showCatName val="0"/>
          <c:showSerName val="0"/>
          <c:showPercent val="0"/>
          <c:showBubbleSize val="0"/>
        </c:dLbls>
        <c:smooth val="0"/>
        <c:axId val="5105951"/>
        <c:axId val="5104703"/>
      </c:lineChart>
      <c:catAx>
        <c:axId val="510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703"/>
        <c:crosses val="autoZero"/>
        <c:auto val="1"/>
        <c:lblAlgn val="ctr"/>
        <c:lblOffset val="100"/>
        <c:noMultiLvlLbl val="0"/>
      </c:catAx>
      <c:valAx>
        <c:axId val="5104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9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[Excel_project.xlsx]Category Performance!PivotTable1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2567825896762903"/>
          <c:y val="0.29309966462525522"/>
          <c:w val="0.54139982502187223"/>
          <c:h val="0.52644757946923304"/>
        </c:manualLayout>
      </c:layout>
      <c:barChart>
        <c:barDir val="col"/>
        <c:grouping val="clustered"/>
        <c:varyColors val="0"/>
        <c:ser>
          <c:idx val="0"/>
          <c:order val="0"/>
          <c:tx>
            <c:strRef>
              <c:f>'Category Performance'!$B$3</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Performance'!$A$4:$A$7</c:f>
              <c:strCache>
                <c:ptCount val="3"/>
                <c:pt idx="0">
                  <c:v>Accessories</c:v>
                </c:pt>
                <c:pt idx="1">
                  <c:v>Furniture</c:v>
                </c:pt>
                <c:pt idx="2">
                  <c:v>Electronics</c:v>
                </c:pt>
              </c:strCache>
            </c:strRef>
          </c:cat>
          <c:val>
            <c:numRef>
              <c:f>'Category Performance'!$B$4:$B$7</c:f>
              <c:numCache>
                <c:formatCode>"₹"\ #,##0.00</c:formatCode>
                <c:ptCount val="3"/>
                <c:pt idx="0">
                  <c:v>159040</c:v>
                </c:pt>
                <c:pt idx="1">
                  <c:v>250210</c:v>
                </c:pt>
                <c:pt idx="2">
                  <c:v>1104870</c:v>
                </c:pt>
              </c:numCache>
            </c:numRef>
          </c:val>
          <c:extLst>
            <c:ext xmlns:c16="http://schemas.microsoft.com/office/drawing/2014/chart" uri="{C3380CC4-5D6E-409C-BE32-E72D297353CC}">
              <c16:uniqueId val="{00000000-E9ED-43CA-911D-3AA48AB6D17A}"/>
            </c:ext>
          </c:extLst>
        </c:ser>
        <c:ser>
          <c:idx val="1"/>
          <c:order val="1"/>
          <c:tx>
            <c:strRef>
              <c:f>'Category Performance'!$C$3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Performance'!$A$4:$A$7</c:f>
              <c:strCache>
                <c:ptCount val="3"/>
                <c:pt idx="0">
                  <c:v>Accessories</c:v>
                </c:pt>
                <c:pt idx="1">
                  <c:v>Furniture</c:v>
                </c:pt>
                <c:pt idx="2">
                  <c:v>Electronics</c:v>
                </c:pt>
              </c:strCache>
            </c:strRef>
          </c:cat>
          <c:val>
            <c:numRef>
              <c:f>'Category Performance'!$C$4:$C$7</c:f>
              <c:numCache>
                <c:formatCode>General</c:formatCode>
                <c:ptCount val="3"/>
                <c:pt idx="0">
                  <c:v>93</c:v>
                </c:pt>
                <c:pt idx="1">
                  <c:v>28</c:v>
                </c:pt>
                <c:pt idx="2">
                  <c:v>41</c:v>
                </c:pt>
              </c:numCache>
            </c:numRef>
          </c:val>
          <c:extLst>
            <c:ext xmlns:c16="http://schemas.microsoft.com/office/drawing/2014/chart" uri="{C3380CC4-5D6E-409C-BE32-E72D297353CC}">
              <c16:uniqueId val="{00000001-E9ED-43CA-911D-3AA48AB6D17A}"/>
            </c:ext>
          </c:extLst>
        </c:ser>
        <c:dLbls>
          <c:showLegendKey val="0"/>
          <c:showVal val="0"/>
          <c:showCatName val="0"/>
          <c:showSerName val="0"/>
          <c:showPercent val="0"/>
          <c:showBubbleSize val="0"/>
        </c:dLbls>
        <c:gapWidth val="100"/>
        <c:overlap val="-24"/>
        <c:axId val="14961327"/>
        <c:axId val="14959663"/>
      </c:barChart>
      <c:catAx>
        <c:axId val="14961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59663"/>
        <c:crosses val="autoZero"/>
        <c:auto val="1"/>
        <c:lblAlgn val="ctr"/>
        <c:lblOffset val="100"/>
        <c:noMultiLvlLbl val="0"/>
      </c:catAx>
      <c:valAx>
        <c:axId val="1495966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13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[Excel_project.xlsx]Regional Performance!PivotTable2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Sales by State</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'Regional Performance'!$B$3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'Regional Performance'!$A$4:$A$7</c:f>
              <c:strCache>
                <c:ptCount val="3"/>
                <c:pt idx="0">
                  <c:v>Karnataka</c:v>
                </c:pt>
                <c:pt idx="1">
                  <c:v>Kerala</c:v>
                </c:pt>
                <c:pt idx="2">
                  <c:v>Tamil Nadu</c:v>
                </c:pt>
              </c:strCache>
            </c:strRef>
          </c:cat>
          <c:val>
            <c:numRef>
              <c:f>'Regional Performance'!$B$4:$B$7</c:f>
              <c:numCache>
                <c:formatCode>"₹"\ #,##0.00</c:formatCode>
                <c:ptCount val="3"/>
                <c:pt idx="0">
                  <c:v>237010</c:v>
                </c:pt>
                <c:pt idx="1">
                  <c:v>278400</c:v>
                </c:pt>
                <c:pt idx="2">
                  <c:v>998710</c:v>
                </c:pt>
              </c:numCache>
            </c:numRef>
          </c:val>
          <c:extLst>
            <c:ext xmlns:c16="http://schemas.microsoft.com/office/drawing/2014/chart" uri="{C3380CC4-5D6E-409C-BE32-E72D297353CC}">
              <c16:uniqueId val="{00000000-DFFD-4842-83E2-57F614A99242}"/>
            </c:ext>
          </c:extLst>
        </c:ser>
        <c:dLbls>
          <c:dLblPos val="outEnd"/>
          <c:showLegendKey val="0"/>
          <c:showVal val="1"/>
          <c:showCatName val="0"/>
          <c:showSerName val="0"/>
          <c:showPercent val="0"/>
          <c:showBubbleSize val="0"/>
        </c:dLbls>
        <c:gapWidth val="100"/>
        <c:axId val="16825231"/>
        <c:axId val="16826479"/>
      </c:barChart>
      <c:catAx>
        <c:axId val="1682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826479"/>
        <c:crosses val="autoZero"/>
        <c:auto val="1"/>
        <c:lblAlgn val="ctr"/>
        <c:lblOffset val="100"/>
        <c:noMultiLvlLbl val="0"/>
      </c:catAx>
      <c:valAx>
        <c:axId val="16826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8252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[Excel_project.xlsx]Payment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'Payment Analysis'!$B$3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DF-41BB-BEED-5564304D58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DF-41BB-BEED-5564304D58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DF-41BB-BEED-5564304D58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'Payment Analysis'!$A$4:$A$7</c:f>
              <c:strCache>
                <c:ptCount val="3"/>
                <c:pt idx="0">
                  <c:v>Card</c:v>
                </c:pt>
                <c:pt idx="1">
                  <c:v>Cash</c:v>
                </c:pt>
                <c:pt idx="2">
                  <c:v>UPI</c:v>
                </c:pt>
              </c:strCache>
            </c:strRef>
          </c:cat>
          <c:val>
            <c:numRef>
              <c:f>'Payment Analysis'!$B$4:$B$7</c:f>
              <c:numCache>
                <c:formatCode>"₹"\ #,##0.00</c:formatCode>
                <c:ptCount val="3"/>
                <c:pt idx="0">
                  <c:v>588360</c:v>
                </c:pt>
                <c:pt idx="1">
                  <c:v>57740</c:v>
                </c:pt>
                <c:pt idx="2">
                  <c:v>868020</c:v>
                </c:pt>
              </c:numCache>
            </c:numRef>
          </c:val>
          <c:extLst>
            <c:ext xmlns:c16="http://schemas.microsoft.com/office/drawing/2014/chart" uri="{C3380CC4-5D6E-409C-BE32-E72D297353CC}">
              <c16:uniqueId val="{00000000-5FA7-4812-BC8A-22D557AAACB7}"/>
            </c:ext>
          </c:extLst>
        </c:ser>
        <c:ser>
          <c:idx val="1"/>
          <c:order val="1"/>
          <c:tx>
            <c:strRef>
              <c:f>'Payment Analysis'!$C$3</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5DF-41BB-BEED-5564304D58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A5DF-41BB-BEED-5564304D58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A5DF-41BB-BEED-5564304D58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Analysis'!$A$4:$A$7</c:f>
              <c:strCache>
                <c:ptCount val="3"/>
                <c:pt idx="0">
                  <c:v>Card</c:v>
                </c:pt>
                <c:pt idx="1">
                  <c:v>Cash</c:v>
                </c:pt>
                <c:pt idx="2">
                  <c:v>UPI</c:v>
                </c:pt>
              </c:strCache>
            </c:strRef>
          </c:cat>
          <c:val>
            <c:numRef>
              <c:f>'Payment Analysis'!$C$4:$C$7</c:f>
              <c:numCache>
                <c:formatCode>General</c:formatCode>
                <c:ptCount val="3"/>
                <c:pt idx="0">
                  <c:v>19</c:v>
                </c:pt>
                <c:pt idx="1">
                  <c:v>5</c:v>
                </c:pt>
                <c:pt idx="2">
                  <c:v>21</c:v>
                </c:pt>
              </c:numCache>
            </c:numRef>
          </c:val>
          <c:extLst>
            <c:ext xmlns:c16="http://schemas.microsoft.com/office/drawing/2014/chart" uri="{C3380CC4-5D6E-409C-BE32-E72D297353CC}">
              <c16:uniqueId val="{00000001-5FA7-4812-BC8A-22D557AAAC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[Excel_project.xlsx]Sheet3!PivotTable1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Sheet3!$A$4:$A$9</c:f>
              <c:strCache>
                <c:ptCount val="5"/>
                <c:pt idx="0">
                  <c:v>Arun Kumar</c:v>
                </c:pt>
                <c:pt idx="1">
                  <c:v>Meena K</c:v>
                </c:pt>
                <c:pt idx="2">
                  <c:v>Priya S</c:v>
                </c:pt>
                <c:pt idx="3">
                  <c:v>Ravi M</c:v>
                </c:pt>
                <c:pt idx="4">
                  <c:v>Suresh P</c:v>
                </c:pt>
              </c:strCache>
            </c:strRef>
          </c:cat>
          <c:val>
            <c:numRef>
              <c:f>Sheet3!$B$4:$B$9</c:f>
              <c:numCache>
                <c:formatCode>General</c:formatCode>
                <c:ptCount val="5"/>
                <c:pt idx="0">
                  <c:v>249050</c:v>
                </c:pt>
                <c:pt idx="1">
                  <c:v>147910</c:v>
                </c:pt>
                <c:pt idx="2">
                  <c:v>224030</c:v>
                </c:pt>
                <c:pt idx="3">
                  <c:v>185080</c:v>
                </c:pt>
                <c:pt idx="4">
                  <c:v>254020</c:v>
                </c:pt>
              </c:numCache>
            </c:numRef>
          </c:val>
          <c:extLst>
            <c:ext xmlns:c16="http://schemas.microsoft.com/office/drawing/2014/chart" uri="{C3380CC4-5D6E-409C-BE32-E72D297353CC}">
              <c16:uniqueId val="{00000000-473F-4AC0-AF28-8FE729A4D707}"/>
            </c:ext>
          </c:extLst>
        </c:ser>
        <c:dLbls>
          <c:dLblPos val="inEnd"/>
          <c:showLegendKey val="0"/>
          <c:showVal val="1"/>
          <c:showCatName val="0"/>
          <c:showSerName val="0"/>
          <c:showPercent val="0"/>
          <c:showBubbleSize val="0"/>
        </c:dLbls>
        <c:gapWidth val="65"/>
        <c:axId val="53496607"/>
        <c:axId val="53483295"/>
      </c:barChart>
      <c:catAx>
        <c:axId val="534966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483295"/>
        <c:crosses val="autoZero"/>
        <c:auto val="1"/>
        <c:lblAlgn val="ctr"/>
        <c:lblOffset val="100"/>
        <c:noMultiLvlLbl val="0"/>
      </c:catAx>
      <c:valAx>
        <c:axId val="534832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496607"/>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[Excel_project.xlsx]Sheet4!PivotTable2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Sales Contribution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Accessories</c:v>
                </c:pt>
                <c:pt idx="1">
                  <c:v>Electronics</c:v>
                </c:pt>
                <c:pt idx="2">
                  <c:v>Furniture</c:v>
                </c:pt>
              </c:strCache>
            </c:strRef>
          </c:cat>
          <c:val>
            <c:numRef>
              <c:f>Sheet4!$B$4:$B$7</c:f>
              <c:numCache>
                <c:formatCode>0.00%</c:formatCode>
                <c:ptCount val="3"/>
                <c:pt idx="0">
                  <c:v>0.10503790980899796</c:v>
                </c:pt>
                <c:pt idx="1">
                  <c:v>0.72971098724011307</c:v>
                </c:pt>
                <c:pt idx="2">
                  <c:v>0.16525110295088896</c:v>
                </c:pt>
              </c:numCache>
            </c:numRef>
          </c:val>
          <c:extLst>
            <c:ext xmlns:c16="http://schemas.microsoft.com/office/drawing/2014/chart" uri="{C3380CC4-5D6E-409C-BE32-E72D297353CC}">
              <c16:uniqueId val="{00000000-9383-484A-B540-3DA1ABA20E16}"/>
            </c:ext>
          </c:extLst>
        </c:ser>
        <c:dLbls>
          <c:dLblPos val="ctr"/>
          <c:showLegendKey val="0"/>
          <c:showVal val="1"/>
          <c:showCatName val="0"/>
          <c:showSerName val="0"/>
          <c:showPercent val="0"/>
          <c:showBubbleSize val="0"/>
        </c:dLbls>
        <c:gapWidth val="150"/>
        <c:overlap val="100"/>
        <c:axId val="162059551"/>
        <c:axId val="162069119"/>
      </c:barChart>
      <c:catAx>
        <c:axId val="1620595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9119"/>
        <c:crosses val="autoZero"/>
        <c:auto val="1"/>
        <c:lblAlgn val="ctr"/>
        <c:lblOffset val="100"/>
        <c:noMultiLvlLbl val="0"/>
      </c:catAx>
      <c:valAx>
        <c:axId val="16206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95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[Excel_project.xlsx]Monthly_Sales!PivotTable2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Monthly_Sales!$A$4:$A$13</c:f>
              <c:strCache>
                <c:ptCount val="9"/>
                <c:pt idx="0">
                  <c:v>Jan</c:v>
                </c:pt>
                <c:pt idx="1">
                  <c:v>Feb</c:v>
                </c:pt>
                <c:pt idx="2">
                  <c:v>Mar</c:v>
                </c:pt>
                <c:pt idx="3">
                  <c:v>Apr</c:v>
                </c:pt>
                <c:pt idx="4">
                  <c:v>May</c:v>
                </c:pt>
                <c:pt idx="5">
                  <c:v>Jun</c:v>
                </c:pt>
                <c:pt idx="6">
                  <c:v>Jul</c:v>
                </c:pt>
                <c:pt idx="7">
                  <c:v>Aug</c:v>
                </c:pt>
                <c:pt idx="8">
                  <c:v>Sep</c:v>
                </c:pt>
              </c:strCache>
            </c:strRef>
          </c:cat>
          <c:val>
            <c:numRef>
              <c:f>Monthly_Sales!$B$4:$B$13</c:f>
              <c:numCache>
                <c:formatCode>"₹"\ #,##0.00</c:formatCode>
                <c:ptCount val="9"/>
                <c:pt idx="0">
                  <c:v>185970</c:v>
                </c:pt>
                <c:pt idx="1">
                  <c:v>169730</c:v>
                </c:pt>
                <c:pt idx="2">
                  <c:v>159170</c:v>
                </c:pt>
                <c:pt idx="3">
                  <c:v>183460</c:v>
                </c:pt>
                <c:pt idx="4">
                  <c:v>162330</c:v>
                </c:pt>
                <c:pt idx="5">
                  <c:v>120315</c:v>
                </c:pt>
                <c:pt idx="6">
                  <c:v>157510</c:v>
                </c:pt>
                <c:pt idx="7">
                  <c:v>172755</c:v>
                </c:pt>
                <c:pt idx="8">
                  <c:v>202880</c:v>
                </c:pt>
              </c:numCache>
            </c:numRef>
          </c:val>
          <c:smooth val="0"/>
          <c:extLst>
            <c:ext xmlns:c16="http://schemas.microsoft.com/office/drawing/2014/chart" uri="{C3380CC4-5D6E-409C-BE32-E72D297353CC}">
              <c16:uniqueId val="{00000000-4B95-4C72-8021-ECD5FC7E701A}"/>
            </c:ext>
          </c:extLst>
        </c:ser>
        <c:dLbls>
          <c:showLegendKey val="0"/>
          <c:showVal val="0"/>
          <c:showCatName val="0"/>
          <c:showSerName val="0"/>
          <c:showPercent val="0"/>
          <c:showBubbleSize val="0"/>
        </c:dLbls>
        <c:smooth val="0"/>
        <c:axId val="5105951"/>
        <c:axId val="5104703"/>
      </c:lineChart>
      <c:catAx>
        <c:axId val="510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703"/>
        <c:crosses val="autoZero"/>
        <c:auto val="1"/>
        <c:lblAlgn val="ctr"/>
        <c:lblOffset val="100"/>
        <c:noMultiLvlLbl val="0"/>
      </c:catAx>
      <c:valAx>
        <c:axId val="5104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[Excel_project.xlsx]Category Performance!PivotTable1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'Category Performance'!$B$3</c:f>
              <c:strCache>
                <c:ptCount val="1"/>
                <c:pt idx="0">
                  <c:v>Sum of Net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Performance'!$A$4:$A$7</c:f>
              <c:strCache>
                <c:ptCount val="3"/>
                <c:pt idx="0">
                  <c:v>Accessories</c:v>
                </c:pt>
                <c:pt idx="1">
                  <c:v>Furniture</c:v>
                </c:pt>
                <c:pt idx="2">
                  <c:v>Electronics</c:v>
                </c:pt>
              </c:strCache>
            </c:strRef>
          </c:cat>
          <c:val>
            <c:numRef>
              <c:f>'Category Performance'!$B$4:$B$7</c:f>
              <c:numCache>
                <c:formatCode>"₹"\ #,##0.00</c:formatCode>
                <c:ptCount val="3"/>
                <c:pt idx="0">
                  <c:v>159040</c:v>
                </c:pt>
                <c:pt idx="1">
                  <c:v>250210</c:v>
                </c:pt>
                <c:pt idx="2">
                  <c:v>1104870</c:v>
                </c:pt>
              </c:numCache>
            </c:numRef>
          </c:val>
          <c:extLst>
            <c:ext xmlns:c16="http://schemas.microsoft.com/office/drawing/2014/chart" uri="{C3380CC4-5D6E-409C-BE32-E72D297353CC}">
              <c16:uniqueId val="{00000000-DE45-4C94-BF63-AD1463BFD391}"/>
            </c:ext>
          </c:extLst>
        </c:ser>
        <c:ser>
          <c:idx val="1"/>
          <c:order val="1"/>
          <c:tx>
            <c:strRef>
              <c:f>'Category Performance'!$C$3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 Performance'!$A$4:$A$7</c:f>
              <c:strCache>
                <c:ptCount val="3"/>
                <c:pt idx="0">
                  <c:v>Accessories</c:v>
                </c:pt>
                <c:pt idx="1">
                  <c:v>Furniture</c:v>
                </c:pt>
                <c:pt idx="2">
                  <c:v>Electronics</c:v>
                </c:pt>
              </c:strCache>
            </c:strRef>
          </c:cat>
          <c:val>
            <c:numRef>
              <c:f>'Category Performance'!$C$4:$C$7</c:f>
              <c:numCache>
                <c:formatCode>General</c:formatCode>
                <c:ptCount val="3"/>
                <c:pt idx="0">
                  <c:v>93</c:v>
                </c:pt>
                <c:pt idx="1">
                  <c:v>28</c:v>
                </c:pt>
                <c:pt idx="2">
                  <c:v>41</c:v>
                </c:pt>
              </c:numCache>
            </c:numRef>
          </c:val>
          <c:extLst>
            <c:ext xmlns:c16="http://schemas.microsoft.com/office/drawing/2014/chart" uri="{C3380CC4-5D6E-409C-BE32-E72D297353CC}">
              <c16:uniqueId val="{00000001-DE45-4C94-BF63-AD1463BFD391}"/>
            </c:ext>
          </c:extLst>
        </c:ser>
        <c:dLbls>
          <c:showLegendKey val="0"/>
          <c:showVal val="0"/>
          <c:showCatName val="0"/>
          <c:showSerName val="0"/>
          <c:showPercent val="0"/>
          <c:showBubbleSize val="0"/>
        </c:dLbls>
        <c:gapWidth val="100"/>
        <c:overlap val="-24"/>
        <c:axId val="14961327"/>
        <c:axId val="14959663"/>
      </c:barChart>
      <c:catAx>
        <c:axId val="14961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59663"/>
        <c:crosses val="autoZero"/>
        <c:auto val="1"/>
        <c:lblAlgn val="ctr"/>
        <c:lblOffset val="100"/>
        <c:noMultiLvlLbl val="0"/>
      </c:catAx>
      <c:valAx>
        <c:axId val="1495966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6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[Excel_project.xlsx]Regional Performance!PivotTable2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'Regional Performance'!$B$3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'Regional Performance'!$A$4:$A$7</c:f>
              <c:strCache>
                <c:ptCount val="3"/>
                <c:pt idx="0">
                  <c:v>Karnataka</c:v>
                </c:pt>
                <c:pt idx="1">
                  <c:v>Kerala</c:v>
                </c:pt>
                <c:pt idx="2">
                  <c:v>Tamil Nadu</c:v>
                </c:pt>
              </c:strCache>
            </c:strRef>
          </c:cat>
          <c:val>
            <c:numRef>
              <c:f>'Regional Performance'!$B$4:$B$7</c:f>
              <c:numCache>
                <c:formatCode>"₹"\ #,##0.00</c:formatCode>
                <c:ptCount val="3"/>
                <c:pt idx="0">
                  <c:v>237010</c:v>
                </c:pt>
                <c:pt idx="1">
                  <c:v>278400</c:v>
                </c:pt>
                <c:pt idx="2">
                  <c:v>998710</c:v>
                </c:pt>
              </c:numCache>
            </c:numRef>
          </c:val>
          <c:extLst>
            <c:ext xmlns:c16="http://schemas.microsoft.com/office/drawing/2014/chart" uri="{C3380CC4-5D6E-409C-BE32-E72D297353CC}">
              <c16:uniqueId val="{00000000-F328-4203-BD88-77540C026433}"/>
            </c:ext>
          </c:extLst>
        </c:ser>
        <c:dLbls>
          <c:dLblPos val="inEnd"/>
          <c:showLegendKey val="0"/>
          <c:showVal val="1"/>
          <c:showCatName val="0"/>
          <c:showSerName val="0"/>
          <c:showPercent val="0"/>
          <c:showBubbleSize val="0"/>
        </c:dLbls>
        <c:gapWidth val="115"/>
        <c:overlap val="-20"/>
        <c:axId val="16825231"/>
        <c:axId val="16826479"/>
      </c:barChart>
      <c:catAx>
        <c:axId val="168252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6479"/>
        <c:crosses val="autoZero"/>
        <c:auto val="1"/>
        <c:lblAlgn val="ctr"/>
        <c:lblOffset val="100"/>
        <c:noMultiLvlLbl val="0"/>
      </c:catAx>
      <c:valAx>
        <c:axId val="16826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[Excel_project.xlsx]Sheet3!PivotTable1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Customers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Sheet3!$A$4:$A$9</c:f>
              <c:strCache>
                <c:ptCount val="5"/>
                <c:pt idx="0">
                  <c:v>Arun Kumar</c:v>
                </c:pt>
                <c:pt idx="1">
                  <c:v>Meena K</c:v>
                </c:pt>
                <c:pt idx="2">
                  <c:v>Priya S</c:v>
                </c:pt>
                <c:pt idx="3">
                  <c:v>Ravi M</c:v>
                </c:pt>
                <c:pt idx="4">
                  <c:v>Suresh P</c:v>
                </c:pt>
              </c:strCache>
            </c:strRef>
          </c:cat>
          <c:val>
            <c:numRef>
              <c:f>Sheet3!$B$4:$B$9</c:f>
              <c:numCache>
                <c:formatCode>General</c:formatCode>
                <c:ptCount val="5"/>
                <c:pt idx="0">
                  <c:v>249050</c:v>
                </c:pt>
                <c:pt idx="1">
                  <c:v>147910</c:v>
                </c:pt>
                <c:pt idx="2">
                  <c:v>224030</c:v>
                </c:pt>
                <c:pt idx="3">
                  <c:v>185080</c:v>
                </c:pt>
                <c:pt idx="4">
                  <c:v>254020</c:v>
                </c:pt>
              </c:numCache>
            </c:numRef>
          </c:val>
          <c:extLst>
            <c:ext xmlns:c16="http://schemas.microsoft.com/office/drawing/2014/chart" uri="{C3380CC4-5D6E-409C-BE32-E72D297353CC}">
              <c16:uniqueId val="{00000000-7DEE-4A6A-85D3-8AC285AA62AA}"/>
            </c:ext>
          </c:extLst>
        </c:ser>
        <c:dLbls>
          <c:dLblPos val="inEnd"/>
          <c:showLegendKey val="0"/>
          <c:showVal val="1"/>
          <c:showCatName val="0"/>
          <c:showSerName val="0"/>
          <c:showPercent val="0"/>
          <c:showBubbleSize val="0"/>
        </c:dLbls>
        <c:gapWidth val="65"/>
        <c:axId val="53496607"/>
        <c:axId val="53483295"/>
      </c:barChart>
      <c:catAx>
        <c:axId val="534966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483295"/>
        <c:crosses val="autoZero"/>
        <c:auto val="1"/>
        <c:lblAlgn val="ctr"/>
        <c:lblOffset val="100"/>
        <c:noMultiLvlLbl val="0"/>
      </c:catAx>
      <c:valAx>
        <c:axId val="534832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3496607"/>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[Excel_project.xlsx]Payment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pivotFmt>
      <c:pivotFmt>
        <c:idx val="23"/>
        <c:spPr>
          <a:solidFill>
            <a:schemeClr val="accent1"/>
          </a:solidFill>
          <a:ln w="19050">
            <a:solidFill>
              <a:schemeClr val="lt1"/>
            </a:solidFill>
          </a:ln>
          <a:effectLst/>
        </c:spPr>
        <c:marker>
          <c:symbol val="none"/>
        </c:marke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'Payment Analysis'!$B$3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A4-4A01-8665-016EC3C0E6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A4-4A01-8665-016EC3C0E6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A4-4A01-8665-016EC3C0E6B2}"/>
              </c:ext>
            </c:extLst>
          </c:dPt>
          <c:dLbls>
            <c:delete val="1"/>
          </c:dLbls>
          <c:cat>
            <c:strRef>
              <c:f>'Payment Analysis'!$A$4:$A$7</c:f>
              <c:strCache>
                <c:ptCount val="3"/>
                <c:pt idx="0">
                  <c:v>Card</c:v>
                </c:pt>
                <c:pt idx="1">
                  <c:v>Cash</c:v>
                </c:pt>
                <c:pt idx="2">
                  <c:v>UPI</c:v>
                </c:pt>
              </c:strCache>
            </c:strRef>
          </c:cat>
          <c:val>
            <c:numRef>
              <c:f>'Payment Analysis'!$B$4:$B$7</c:f>
              <c:numCache>
                <c:formatCode>"₹"\ #,##0.00</c:formatCode>
                <c:ptCount val="3"/>
                <c:pt idx="0">
                  <c:v>588360</c:v>
                </c:pt>
                <c:pt idx="1">
                  <c:v>57740</c:v>
                </c:pt>
                <c:pt idx="2">
                  <c:v>868020</c:v>
                </c:pt>
              </c:numCache>
            </c:numRef>
          </c:val>
          <c:extLst>
            <c:ext xmlns:c16="http://schemas.microsoft.com/office/drawing/2014/chart" uri="{C3380CC4-5D6E-409C-BE32-E72D297353CC}">
              <c16:uniqueId val="{00000006-D7A4-4A01-8665-016EC3C0E6B2}"/>
            </c:ext>
          </c:extLst>
        </c:ser>
        <c:ser>
          <c:idx val="1"/>
          <c:order val="1"/>
          <c:tx>
            <c:strRef>
              <c:f>'Payment Analysis'!$C$3</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7A4-4A01-8665-016EC3C0E6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7A4-4A01-8665-016EC3C0E6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7A4-4A01-8665-016EC3C0E6B2}"/>
              </c:ext>
            </c:extLst>
          </c:dPt>
          <c:dLbls>
            <c:delete val="1"/>
          </c:dLbls>
          <c:cat>
            <c:strRef>
              <c:f>'Payment Analysis'!$A$4:$A$7</c:f>
              <c:strCache>
                <c:ptCount val="3"/>
                <c:pt idx="0">
                  <c:v>Card</c:v>
                </c:pt>
                <c:pt idx="1">
                  <c:v>Cash</c:v>
                </c:pt>
                <c:pt idx="2">
                  <c:v>UPI</c:v>
                </c:pt>
              </c:strCache>
            </c:strRef>
          </c:cat>
          <c:val>
            <c:numRef>
              <c:f>'Payment Analysis'!$C$4:$C$7</c:f>
              <c:numCache>
                <c:formatCode>General</c:formatCode>
                <c:ptCount val="3"/>
                <c:pt idx="0">
                  <c:v>19</c:v>
                </c:pt>
                <c:pt idx="1">
                  <c:v>5</c:v>
                </c:pt>
                <c:pt idx="2">
                  <c:v>21</c:v>
                </c:pt>
              </c:numCache>
            </c:numRef>
          </c:val>
          <c:extLst>
            <c:ext xmlns:c16="http://schemas.microsoft.com/office/drawing/2014/chart" uri="{C3380CC4-5D6E-409C-BE32-E72D297353CC}">
              <c16:uniqueId val="{0000000D-D7A4-4A01-8665-016EC3C0E6B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[Excel_project.xlsx]Sheet4!PivotTable2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Sales Contribution</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Accessories</c:v>
                </c:pt>
                <c:pt idx="1">
                  <c:v>Electronics</c:v>
                </c:pt>
                <c:pt idx="2">
                  <c:v>Furniture</c:v>
                </c:pt>
              </c:strCache>
            </c:strRef>
          </c:cat>
          <c:val>
            <c:numRef>
              <c:f>Sheet4!$B$4:$B$7</c:f>
              <c:numCache>
                <c:formatCode>0.00%</c:formatCode>
                <c:ptCount val="3"/>
                <c:pt idx="0">
                  <c:v>0.10503790980899796</c:v>
                </c:pt>
                <c:pt idx="1">
                  <c:v>0.72971098724011307</c:v>
                </c:pt>
                <c:pt idx="2">
                  <c:v>0.16525110295088896</c:v>
                </c:pt>
              </c:numCache>
            </c:numRef>
          </c:val>
          <c:extLst>
            <c:ext xmlns:c16="http://schemas.microsoft.com/office/drawing/2014/chart" uri="{C3380CC4-5D6E-409C-BE32-E72D297353CC}">
              <c16:uniqueId val="{00000000-38F6-4ADA-8E57-5389CF579BF4}"/>
            </c:ext>
          </c:extLst>
        </c:ser>
        <c:dLbls>
          <c:dLblPos val="ctr"/>
          <c:showLegendKey val="0"/>
          <c:showVal val="1"/>
          <c:showCatName val="0"/>
          <c:showSerName val="0"/>
          <c:showPercent val="0"/>
          <c:showBubbleSize val="0"/>
        </c:dLbls>
        <c:gapWidth val="150"/>
        <c:overlap val="100"/>
        <c:axId val="162059551"/>
        <c:axId val="162069119"/>
      </c:barChart>
      <c:catAx>
        <c:axId val="1620595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9119"/>
        <c:crosses val="autoZero"/>
        <c:auto val="1"/>
        <c:lblAlgn val="ctr"/>
        <c:lblOffset val="100"/>
        <c:noMultiLvlLbl val="0"/>
      </c:catAx>
      <c:valAx>
        <c:axId val="16206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595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357187</xdr:colOff>
      <xdr:row>4</xdr:row>
      <xdr:rowOff>161925</xdr:rowOff>
    </xdr:from>
    <xdr:to>
      <xdr:col>11</xdr:col>
      <xdr:colOff>52387</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95250</xdr:rowOff>
    </xdr:from>
    <xdr:to>
      <xdr:col>5</xdr:col>
      <xdr:colOff>381000</xdr:colOff>
      <xdr:row>22</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342900</xdr:colOff>
      <xdr:row>4</xdr:row>
      <xdr:rowOff>161925</xdr:rowOff>
    </xdr:from>
    <xdr:to>
      <xdr:col>13</xdr:col>
      <xdr:colOff>38100</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485775</xdr:colOff>
      <xdr:row>4</xdr:row>
      <xdr:rowOff>161925</xdr:rowOff>
    </xdr:from>
    <xdr:to>
      <xdr:col>12</xdr:col>
      <xdr:colOff>180975</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319087</xdr:colOff>
      <xdr:row>4</xdr:row>
      <xdr:rowOff>161925</xdr:rowOff>
    </xdr:from>
    <xdr:to>
      <xdr:col>11</xdr:col>
      <xdr:colOff>14287</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485775</xdr:colOff>
      <xdr:row>7</xdr:row>
      <xdr:rowOff>142875</xdr:rowOff>
    </xdr:from>
    <xdr:to>
      <xdr:col>10</xdr:col>
      <xdr:colOff>180975</xdr:colOff>
      <xdr:row>22</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190500</xdr:colOff>
      <xdr:row>6</xdr:row>
      <xdr:rowOff>47625</xdr:rowOff>
    </xdr:from>
    <xdr:to>
      <xdr:col>7</xdr:col>
      <xdr:colOff>152400</xdr:colOff>
      <xdr:row>20</xdr:row>
      <xdr:rowOff>123825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xdr:colOff>
      <xdr:row>6</xdr:row>
      <xdr:rowOff>38100</xdr:rowOff>
    </xdr:from>
    <xdr:to>
      <xdr:col>15</xdr:col>
      <xdr:colOff>361950</xdr:colOff>
      <xdr:row>20</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123825</xdr:colOff>
      <xdr:row>6</xdr:row>
      <xdr:rowOff>0</xdr:rowOff>
    </xdr:from>
    <xdr:to>
      <xdr:col>26</xdr:col>
      <xdr:colOff>523875</xdr:colOff>
      <xdr:row>20</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21</xdr:row>
      <xdr:rowOff>180975</xdr:rowOff>
    </xdr:from>
    <xdr:to>
      <xdr:col>7</xdr:col>
      <xdr:colOff>219075</xdr:colOff>
      <xdr:row>36</xdr:row>
      <xdr:rowOff>66675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22</xdr:row>
      <xdr:rowOff>0</xdr:rowOff>
    </xdr:from>
    <xdr:to>
      <xdr:col>15</xdr:col>
      <xdr:colOff>304800</xdr:colOff>
      <xdr:row>36</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22</xdr:row>
      <xdr:rowOff>0</xdr:rowOff>
    </xdr:from>
    <xdr:to>
      <xdr:col>24</xdr:col>
      <xdr:colOff>304800</xdr:colOff>
      <xdr:row>36</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20051</xdr:colOff>
      <xdr:row>39</xdr:row>
      <xdr:rowOff>10027</xdr:rowOff>
    </xdr:from>
    <xdr:to>
      <xdr:col>4</xdr:col>
      <xdr:colOff>14035</xdr:colOff>
      <xdr:row>52</xdr:row>
      <xdr:rowOff>57652</xdr:rowOff>
    </xdr:to>
    <mc:AlternateContent xmlns:mc="http://schemas.openxmlformats.org/markup-compatibility/2006" xmlns:a14="http://schemas.microsoft.com/office/drawing/2010/main">
      <mc:Choice Requires="a14">
        <xdr:graphicFrame macro="">
          <xdr:nvGraphicFramePr>
            <xdr:cNvPr id="13" name="CustomerName"/>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842209" y="773029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39</xdr:row>
      <xdr:rowOff>0</xdr:rowOff>
    </xdr:from>
    <xdr:to>
      <xdr:col>8</xdr:col>
      <xdr:colOff>605589</xdr:colOff>
      <xdr:row>52</xdr:row>
      <xdr:rowOff>47625</xdr:rowOff>
    </xdr:to>
    <mc:AlternateContent xmlns:mc="http://schemas.openxmlformats.org/markup-compatibility/2006" xmlns:a14="http://schemas.microsoft.com/office/drawing/2010/main">
      <mc:Choice Requires="a14">
        <xdr:graphicFrame macro="">
          <xdr:nvGraphicFramePr>
            <xdr:cNvPr id="14"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880184" y="77202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39</xdr:row>
      <xdr:rowOff>0</xdr:rowOff>
    </xdr:from>
    <xdr:to>
      <xdr:col>12</xdr:col>
      <xdr:colOff>605589</xdr:colOff>
      <xdr:row>52</xdr:row>
      <xdr:rowOff>47625</xdr:rowOff>
    </xdr:to>
    <mc:AlternateContent xmlns:mc="http://schemas.openxmlformats.org/markup-compatibility/2006" xmlns:a14="http://schemas.microsoft.com/office/drawing/2010/main">
      <mc:Choice Requires="a14">
        <xdr:graphicFrame macro="">
          <xdr:nvGraphicFramePr>
            <xdr:cNvPr id="1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26605" y="77202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39</xdr:row>
      <xdr:rowOff>0</xdr:rowOff>
    </xdr:from>
    <xdr:to>
      <xdr:col>16</xdr:col>
      <xdr:colOff>605589</xdr:colOff>
      <xdr:row>52</xdr:row>
      <xdr:rowOff>47625</xdr:rowOff>
    </xdr:to>
    <mc:AlternateContent xmlns:mc="http://schemas.openxmlformats.org/markup-compatibility/2006" xmlns:a14="http://schemas.microsoft.com/office/drawing/2010/main">
      <mc:Choice Requires="a14">
        <xdr:graphicFrame macro="">
          <xdr:nvGraphicFramePr>
            <xdr:cNvPr id="16" name="Payment"/>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773026" y="77202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292.675538194446" createdVersion="8" refreshedVersion="8" minRefreshableVersion="3" recordCount="45">
  <cacheSource type="worksheet">
    <worksheetSource name="Table"/>
  </cacheSource>
  <cacheFields count="20">
    <cacheField name="OrderID" numFmtId="0">
      <sharedItems/>
    </cacheField>
    <cacheField name="OrderDate" numFmtId="14">
      <sharedItems containsSemiMixedTypes="0" containsNonDate="0" containsDate="1" containsString="0" minDate="2026-01-05T00:00:00" maxDate="2026-09-27T00:00:00" count="45">
        <d v="2026-01-05T00:00:00"/>
        <d v="2026-01-07T00:00:00"/>
        <d v="2026-01-12T00:00:00"/>
        <d v="2026-01-18T00:00:00"/>
        <d v="2026-01-25T00:00:00"/>
        <d v="2026-02-03T00:00:00"/>
        <d v="2026-02-09T00:00:00"/>
        <d v="2026-02-15T00:00:00"/>
        <d v="2026-02-21T00:00:00"/>
        <d v="2026-02-27T00:00:00"/>
        <d v="2026-03-04T00:00:00"/>
        <d v="2026-03-08T00:00:00"/>
        <d v="2026-03-14T00:00:00"/>
        <d v="2026-03-19T00:00:00"/>
        <d v="2026-03-26T00:00:00"/>
        <d v="2026-04-02T00:00:00"/>
        <d v="2026-04-06T00:00:00"/>
        <d v="2026-04-13T00:00:00"/>
        <d v="2026-04-18T00:00:00"/>
        <d v="2026-04-24T00:00:00"/>
        <d v="2026-05-03T00:00:00"/>
        <d v="2026-05-08T00:00:00"/>
        <d v="2026-05-15T00:00:00"/>
        <d v="2026-05-20T00:00:00"/>
        <d v="2026-05-28T00:00:00"/>
        <d v="2026-06-04T00:00:00"/>
        <d v="2026-06-09T00:00:00"/>
        <d v="2026-06-16T00:00:00"/>
        <d v="2026-06-22T00:00:00"/>
        <d v="2026-06-29T00:00:00"/>
        <d v="2026-07-05T00:00:00"/>
        <d v="2026-07-11T00:00:00"/>
        <d v="2026-07-17T00:00:00"/>
        <d v="2026-07-23T00:00:00"/>
        <d v="2026-07-29T00:00:00"/>
        <d v="2026-08-04T00:00:00"/>
        <d v="2026-08-10T00:00:00"/>
        <d v="2026-08-16T00:00:00"/>
        <d v="2026-08-22T00:00:00"/>
        <d v="2026-08-28T00:00:00"/>
        <d v="2026-09-03T00:00:00"/>
        <d v="2026-09-09T00:00:00"/>
        <d v="2026-09-15T00:00:00"/>
        <d v="2026-09-21T00:00:00"/>
        <d v="2026-09-26T00:00:00"/>
      </sharedItems>
      <fieldGroup base="1">
        <rangePr groupBy="months" startDate="2026-01-05T00:00:00" endDate="2026-09-27T00:00:00"/>
        <groupItems count="14">
          <s v="&lt;05-01-2026"/>
          <s v="Jan"/>
          <s v="Feb"/>
          <s v="Mar"/>
          <s v="Apr"/>
          <s v="May"/>
          <s v="Jun"/>
          <s v="Jul"/>
          <s v="Aug"/>
          <s v="Sep"/>
          <s v="Oct"/>
          <s v="Nov"/>
          <s v="Dec"/>
          <s v="&gt;27-09-2026"/>
        </groupItems>
      </fieldGroup>
    </cacheField>
    <cacheField name="CustomerID" numFmtId="0">
      <sharedItems count="10">
        <s v="C101"/>
        <s v="C102"/>
        <s v="C103"/>
        <s v="C104"/>
        <s v="C105"/>
        <s v="C106"/>
        <s v="C107"/>
        <s v="C108"/>
        <s v="C109"/>
        <s v="C110"/>
      </sharedItems>
    </cacheField>
    <cacheField name="CustomerName" numFmtId="0">
      <sharedItems count="9">
        <s v="Arun Kumar"/>
        <s v="Priya S"/>
        <s v="Ravi M"/>
        <s v="Divya R"/>
        <s v="Suresh P"/>
        <s v="Meena K"/>
        <s v="Anitha V"/>
        <s v="Bala R"/>
        <s v="Geetha S"/>
      </sharedItems>
    </cacheField>
    <cacheField name="City" numFmtId="49">
      <sharedItems/>
    </cacheField>
    <cacheField name="State" numFmtId="49">
      <sharedItems count="3">
        <s v="Tamil Nadu"/>
        <s v="Kerala"/>
        <s v="Karnataka"/>
      </sharedItems>
    </cacheField>
    <cacheField name="Region" numFmtId="0">
      <sharedItems/>
    </cacheField>
    <cacheField name="Product" numFmtId="49">
      <sharedItems count="8">
        <s v="Laptop Pro 14"/>
        <s v="Office Chair"/>
        <s v="Wireless Mouse"/>
        <s v="Monitor 24"/>
        <s v="Keyboard"/>
        <s v="Office Desk"/>
        <s v="Headset"/>
        <s v="Printer"/>
      </sharedItems>
    </cacheField>
    <cacheField name="Category" numFmtId="0">
      <sharedItems count="3">
        <s v="Electronics"/>
        <s v="Furniture"/>
        <s v="Accessories"/>
      </sharedItems>
    </cacheField>
    <cacheField name="Quantity" numFmtId="0">
      <sharedItems containsSemiMixedTypes="0" containsString="0" containsNumber="1" containsInteger="1" minValue="1" maxValue="12"/>
    </cacheField>
    <cacheField name="UnitPrice" numFmtId="0">
      <sharedItems containsSemiMixedTypes="0" containsString="0" containsNumber="1" containsInteger="1" minValue="1200" maxValue="65000"/>
    </cacheField>
    <cacheField name="Discount" numFmtId="9">
      <sharedItems containsSemiMixedTypes="0" containsString="0" containsNumber="1" minValue="0" maxValue="0.15"/>
    </cacheField>
    <cacheField name="Payment" numFmtId="0">
      <sharedItems count="3">
        <s v="UPI"/>
        <s v="Card"/>
        <s v="Cash"/>
      </sharedItems>
    </cacheField>
    <cacheField name="DeliveryDays" numFmtId="0">
      <sharedItems containsSemiMixedTypes="0" containsString="0" containsNumber="1" containsInteger="1" minValue="2" maxValue="9"/>
    </cacheField>
    <cacheField name="OrderStatus" numFmtId="0">
      <sharedItems/>
    </cacheField>
    <cacheField name="Gross Sales" numFmtId="0">
      <sharedItems containsSemiMixedTypes="0" containsString="0" containsNumber="1" containsInteger="1" minValue="6000" maxValue="130000"/>
    </cacheField>
    <cacheField name="Discount Amount" numFmtId="0">
      <sharedItems containsSemiMixedTypes="0" containsString="0" containsNumber="1" containsInteger="1" minValue="0" maxValue="19500"/>
    </cacheField>
    <cacheField name="Net Sales" numFmtId="0">
      <sharedItems containsSemiMixedTypes="0" containsString="0" containsNumber="1" containsInteger="1" minValue="6000" maxValue="123500" count="34">
        <n v="123500"/>
        <n v="22950"/>
        <n v="6000"/>
        <n v="26680"/>
        <n v="6840"/>
        <n v="58500"/>
        <n v="22800"/>
        <n v="15000"/>
        <n v="38280"/>
        <n v="35150"/>
        <n v="16150"/>
        <n v="110500"/>
        <n v="12600"/>
        <n v="10800"/>
        <n v="9120"/>
        <n v="51060"/>
        <n v="27550"/>
        <n v="30600"/>
        <n v="61750"/>
        <n v="12500"/>
        <n v="11400"/>
        <n v="34040"/>
        <n v="18000"/>
        <n v="41325"/>
        <n v="33300"/>
        <n v="16200"/>
        <n v="23460"/>
        <n v="57200"/>
        <n v="13680"/>
        <n v="21600"/>
        <n v="52725"/>
        <n v="117000"/>
        <n v="32300"/>
        <n v="14400"/>
      </sharedItems>
    </cacheField>
    <cacheField name="Delivery Status" numFmtId="0">
      <sharedItems/>
    </cacheField>
    <cacheField name="Sales Categor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5">
  <r>
    <s v="ORD1001"/>
    <x v="0"/>
    <x v="0"/>
    <x v="0"/>
    <s v="Coimbatore"/>
    <x v="0"/>
    <s v="South"/>
    <x v="0"/>
    <x v="0"/>
    <n v="2"/>
    <n v="65000"/>
    <n v="0.05"/>
    <x v="0"/>
    <n v="3"/>
    <s v="Delivered"/>
    <n v="130000"/>
    <n v="6500"/>
    <x v="0"/>
    <s v="Fast"/>
    <s v="High"/>
  </r>
  <r>
    <s v="ORD1002"/>
    <x v="1"/>
    <x v="1"/>
    <x v="1"/>
    <s v="Chennai"/>
    <x v="0"/>
    <s v="South"/>
    <x v="1"/>
    <x v="1"/>
    <n v="3"/>
    <n v="8500"/>
    <n v="0.1"/>
    <x v="1"/>
    <n v="5"/>
    <s v="Delivered"/>
    <n v="25500"/>
    <n v="2550"/>
    <x v="1"/>
    <s v="Normal"/>
    <s v="Medium"/>
  </r>
  <r>
    <s v="ORD1003"/>
    <x v="2"/>
    <x v="2"/>
    <x v="2"/>
    <s v="Kochi"/>
    <x v="1"/>
    <s v="South"/>
    <x v="2"/>
    <x v="2"/>
    <n v="5"/>
    <n v="1200"/>
    <n v="0"/>
    <x v="0"/>
    <n v="2"/>
    <s v="Delivered"/>
    <n v="6000"/>
    <n v="0"/>
    <x v="2"/>
    <s v="Fast"/>
    <s v="Low"/>
  </r>
  <r>
    <s v="ORD1004"/>
    <x v="3"/>
    <x v="3"/>
    <x v="3"/>
    <s v="Bengaluru"/>
    <x v="2"/>
    <s v="South"/>
    <x v="3"/>
    <x v="0"/>
    <n v="2"/>
    <n v="14500"/>
    <n v="0.08"/>
    <x v="1"/>
    <n v="4"/>
    <s v="Delivered"/>
    <n v="29000"/>
    <n v="2320"/>
    <x v="3"/>
    <s v="Normal"/>
    <s v="Medium"/>
  </r>
  <r>
    <s v="ORD1005"/>
    <x v="4"/>
    <x v="4"/>
    <x v="4"/>
    <s v="Madurai"/>
    <x v="0"/>
    <s v="South"/>
    <x v="4"/>
    <x v="2"/>
    <n v="4"/>
    <n v="1800"/>
    <n v="0.05"/>
    <x v="2"/>
    <n v="3"/>
    <s v="Delivered"/>
    <n v="7200"/>
    <n v="360"/>
    <x v="4"/>
    <s v="Fast"/>
    <s v="Low"/>
  </r>
  <r>
    <s v="ORD1006"/>
    <x v="5"/>
    <x v="5"/>
    <x v="5"/>
    <s v="Coimbatore"/>
    <x v="0"/>
    <s v="South"/>
    <x v="0"/>
    <x v="0"/>
    <n v="1"/>
    <n v="65000"/>
    <n v="0.1"/>
    <x v="0"/>
    <n v="6"/>
    <s v="Delivered"/>
    <n v="65000"/>
    <n v="6500"/>
    <x v="5"/>
    <s v="Normal"/>
    <s v="High"/>
  </r>
  <r>
    <s v="ORD1007"/>
    <x v="6"/>
    <x v="6"/>
    <x v="6"/>
    <s v="Chennai"/>
    <x v="0"/>
    <s v="South"/>
    <x v="5"/>
    <x v="1"/>
    <n v="2"/>
    <n v="12000"/>
    <n v="0.05"/>
    <x v="1"/>
    <n v="4"/>
    <s v="Delivered"/>
    <n v="24000"/>
    <n v="1200"/>
    <x v="6"/>
    <s v="Normal"/>
    <s v="Medium"/>
  </r>
  <r>
    <s v="ORD1008"/>
    <x v="7"/>
    <x v="7"/>
    <x v="7"/>
    <s v="Kochi"/>
    <x v="1"/>
    <s v="South"/>
    <x v="6"/>
    <x v="2"/>
    <n v="6"/>
    <n v="2500"/>
    <n v="0"/>
    <x v="0"/>
    <n v="2"/>
    <s v="Delivered"/>
    <n v="15000"/>
    <n v="0"/>
    <x v="7"/>
    <s v="Fast"/>
    <s v="Low"/>
  </r>
  <r>
    <s v="ORD1009"/>
    <x v="8"/>
    <x v="8"/>
    <x v="8"/>
    <s v="Bengaluru"/>
    <x v="2"/>
    <s v="South"/>
    <x v="3"/>
    <x v="0"/>
    <n v="3"/>
    <n v="14500"/>
    <n v="0.12"/>
    <x v="1"/>
    <n v="7"/>
    <s v="Delivered"/>
    <n v="43500"/>
    <n v="5220"/>
    <x v="8"/>
    <s v="Delayed"/>
    <s v="Medium"/>
  </r>
  <r>
    <s v="ORD1010"/>
    <x v="9"/>
    <x v="9"/>
    <x v="4"/>
    <s v="Madurai"/>
    <x v="0"/>
    <s v="South"/>
    <x v="7"/>
    <x v="0"/>
    <n v="2"/>
    <n v="18500"/>
    <n v="0.05"/>
    <x v="0"/>
    <n v="4"/>
    <s v="Delivered"/>
    <n v="37000"/>
    <n v="1850"/>
    <x v="9"/>
    <s v="Normal"/>
    <s v="Medium"/>
  </r>
  <r>
    <s v="ORD1011"/>
    <x v="10"/>
    <x v="0"/>
    <x v="0"/>
    <s v="Coimbatore"/>
    <x v="0"/>
    <s v="South"/>
    <x v="1"/>
    <x v="1"/>
    <n v="2"/>
    <n v="8500"/>
    <n v="0.05"/>
    <x v="1"/>
    <n v="5"/>
    <s v="Delivered"/>
    <n v="17000"/>
    <n v="850"/>
    <x v="10"/>
    <s v="Normal"/>
    <s v="Low"/>
  </r>
  <r>
    <s v="ORD1012"/>
    <x v="11"/>
    <x v="1"/>
    <x v="1"/>
    <s v="Chennai"/>
    <x v="0"/>
    <s v="South"/>
    <x v="0"/>
    <x v="0"/>
    <n v="2"/>
    <n v="65000"/>
    <n v="0.15"/>
    <x v="0"/>
    <n v="8"/>
    <s v="Delivered"/>
    <n v="130000"/>
    <n v="19500"/>
    <x v="11"/>
    <s v="Delayed"/>
    <s v="High"/>
  </r>
  <r>
    <s v="ORD1013"/>
    <x v="12"/>
    <x v="2"/>
    <x v="2"/>
    <s v="Kochi"/>
    <x v="1"/>
    <s v="South"/>
    <x v="4"/>
    <x v="2"/>
    <n v="7"/>
    <n v="1800"/>
    <n v="0"/>
    <x v="2"/>
    <n v="3"/>
    <s v="Delivered"/>
    <n v="12600"/>
    <n v="0"/>
    <x v="12"/>
    <s v="Fast"/>
    <s v="Low"/>
  </r>
  <r>
    <s v="ORD1014"/>
    <x v="13"/>
    <x v="3"/>
    <x v="3"/>
    <s v="Bengaluru"/>
    <x v="2"/>
    <s v="South"/>
    <x v="5"/>
    <x v="1"/>
    <n v="1"/>
    <n v="12000"/>
    <n v="0.1"/>
    <x v="1"/>
    <n v="6"/>
    <s v="Delivered"/>
    <n v="12000"/>
    <n v="1200"/>
    <x v="13"/>
    <s v="Normal"/>
    <s v="Low"/>
  </r>
  <r>
    <s v="ORD1015"/>
    <x v="14"/>
    <x v="4"/>
    <x v="4"/>
    <s v="Madurai"/>
    <x v="0"/>
    <s v="South"/>
    <x v="2"/>
    <x v="2"/>
    <n v="8"/>
    <n v="1200"/>
    <n v="0.05"/>
    <x v="0"/>
    <n v="2"/>
    <s v="Delivered"/>
    <n v="9600"/>
    <n v="480"/>
    <x v="14"/>
    <s v="Fast"/>
    <s v="Low"/>
  </r>
  <r>
    <s v="ORD1016"/>
    <x v="15"/>
    <x v="5"/>
    <x v="5"/>
    <s v="Coimbatore"/>
    <x v="0"/>
    <s v="South"/>
    <x v="7"/>
    <x v="0"/>
    <n v="3"/>
    <n v="18500"/>
    <n v="0.08"/>
    <x v="1"/>
    <n v="5"/>
    <s v="Delivered"/>
    <n v="55500"/>
    <n v="4440"/>
    <x v="15"/>
    <s v="Normal"/>
    <s v="High"/>
  </r>
  <r>
    <s v="ORD1017"/>
    <x v="16"/>
    <x v="6"/>
    <x v="6"/>
    <s v="Chennai"/>
    <x v="0"/>
    <s v="South"/>
    <x v="3"/>
    <x v="0"/>
    <n v="2"/>
    <n v="14500"/>
    <n v="0.05"/>
    <x v="0"/>
    <n v="4"/>
    <s v="Delivered"/>
    <n v="29000"/>
    <n v="1450"/>
    <x v="16"/>
    <s v="Normal"/>
    <s v="Medium"/>
  </r>
  <r>
    <s v="ORD1018"/>
    <x v="17"/>
    <x v="7"/>
    <x v="7"/>
    <s v="Kochi"/>
    <x v="1"/>
    <s v="South"/>
    <x v="1"/>
    <x v="1"/>
    <n v="4"/>
    <n v="8500"/>
    <n v="0.1"/>
    <x v="1"/>
    <n v="7"/>
    <s v="Delivered"/>
    <n v="34000"/>
    <n v="3400"/>
    <x v="17"/>
    <s v="Delayed"/>
    <s v="Medium"/>
  </r>
  <r>
    <s v="ORD1019"/>
    <x v="18"/>
    <x v="8"/>
    <x v="8"/>
    <s v="Bengaluru"/>
    <x v="2"/>
    <s v="South"/>
    <x v="0"/>
    <x v="0"/>
    <n v="1"/>
    <n v="65000"/>
    <n v="0.05"/>
    <x v="0"/>
    <n v="3"/>
    <s v="Delivered"/>
    <n v="65000"/>
    <n v="3250"/>
    <x v="18"/>
    <s v="Fast"/>
    <s v="High"/>
  </r>
  <r>
    <s v="ORD1020"/>
    <x v="19"/>
    <x v="9"/>
    <x v="4"/>
    <s v="Madurai"/>
    <x v="0"/>
    <s v="South"/>
    <x v="6"/>
    <x v="2"/>
    <n v="5"/>
    <n v="2500"/>
    <n v="0"/>
    <x v="2"/>
    <n v="2"/>
    <s v="Delivered"/>
    <n v="12500"/>
    <n v="0"/>
    <x v="19"/>
    <s v="Fast"/>
    <s v="Low"/>
  </r>
  <r>
    <s v="ORD1021"/>
    <x v="20"/>
    <x v="0"/>
    <x v="0"/>
    <s v="Coimbatore"/>
    <x v="0"/>
    <s v="South"/>
    <x v="7"/>
    <x v="0"/>
    <n v="2"/>
    <n v="18500"/>
    <n v="0.05"/>
    <x v="0"/>
    <n v="5"/>
    <s v="Delivered"/>
    <n v="37000"/>
    <n v="1850"/>
    <x v="9"/>
    <s v="Normal"/>
    <s v="Medium"/>
  </r>
  <r>
    <s v="ORD1022"/>
    <x v="21"/>
    <x v="1"/>
    <x v="1"/>
    <s v="Chennai"/>
    <x v="0"/>
    <s v="South"/>
    <x v="5"/>
    <x v="1"/>
    <n v="3"/>
    <n v="12000"/>
    <n v="0.15"/>
    <x v="1"/>
    <n v="9"/>
    <s v="Delivered"/>
    <n v="36000"/>
    <n v="5400"/>
    <x v="17"/>
    <s v="Delayed"/>
    <s v="Medium"/>
  </r>
  <r>
    <s v="ORD1023"/>
    <x v="22"/>
    <x v="2"/>
    <x v="2"/>
    <s v="Kochi"/>
    <x v="1"/>
    <s v="South"/>
    <x v="3"/>
    <x v="0"/>
    <n v="2"/>
    <n v="14500"/>
    <n v="0.08"/>
    <x v="0"/>
    <n v="4"/>
    <s v="Delivered"/>
    <n v="29000"/>
    <n v="2320"/>
    <x v="3"/>
    <s v="Normal"/>
    <s v="Medium"/>
  </r>
  <r>
    <s v="ORD1024"/>
    <x v="23"/>
    <x v="3"/>
    <x v="3"/>
    <s v="Bengaluru"/>
    <x v="2"/>
    <s v="South"/>
    <x v="2"/>
    <x v="2"/>
    <n v="10"/>
    <n v="1200"/>
    <n v="0.05"/>
    <x v="2"/>
    <n v="2"/>
    <s v="Delivered"/>
    <n v="12000"/>
    <n v="600"/>
    <x v="20"/>
    <s v="Fast"/>
    <s v="Low"/>
  </r>
  <r>
    <s v="ORD1025"/>
    <x v="24"/>
    <x v="4"/>
    <x v="4"/>
    <s v="Madurai"/>
    <x v="0"/>
    <s v="South"/>
    <x v="0"/>
    <x v="0"/>
    <n v="1"/>
    <n v="65000"/>
    <n v="0.1"/>
    <x v="1"/>
    <n v="6"/>
    <s v="Delivered"/>
    <n v="65000"/>
    <n v="6500"/>
    <x v="5"/>
    <s v="Normal"/>
    <s v="High"/>
  </r>
  <r>
    <s v="ORD1026"/>
    <x v="25"/>
    <x v="5"/>
    <x v="5"/>
    <s v="Coimbatore"/>
    <x v="0"/>
    <s v="South"/>
    <x v="4"/>
    <x v="2"/>
    <n v="6"/>
    <n v="1800"/>
    <n v="0"/>
    <x v="0"/>
    <n v="3"/>
    <s v="Delivered"/>
    <n v="10800"/>
    <n v="0"/>
    <x v="13"/>
    <s v="Fast"/>
    <s v="Low"/>
  </r>
  <r>
    <s v="ORD1027"/>
    <x v="26"/>
    <x v="6"/>
    <x v="6"/>
    <s v="Chennai"/>
    <x v="0"/>
    <s v="South"/>
    <x v="1"/>
    <x v="1"/>
    <n v="2"/>
    <n v="8500"/>
    <n v="0.05"/>
    <x v="1"/>
    <n v="5"/>
    <s v="Delivered"/>
    <n v="17000"/>
    <n v="850"/>
    <x v="10"/>
    <s v="Normal"/>
    <s v="Low"/>
  </r>
  <r>
    <s v="ORD1028"/>
    <x v="27"/>
    <x v="7"/>
    <x v="7"/>
    <s v="Kochi"/>
    <x v="1"/>
    <s v="South"/>
    <x v="7"/>
    <x v="0"/>
    <n v="2"/>
    <n v="18500"/>
    <n v="0.08"/>
    <x v="0"/>
    <n v="7"/>
    <s v="Delivered"/>
    <n v="37000"/>
    <n v="2960"/>
    <x v="21"/>
    <s v="Delayed"/>
    <s v="Medium"/>
  </r>
  <r>
    <s v="ORD1029"/>
    <x v="28"/>
    <x v="8"/>
    <x v="8"/>
    <s v="Bengaluru"/>
    <x v="2"/>
    <s v="South"/>
    <x v="6"/>
    <x v="2"/>
    <n v="8"/>
    <n v="2500"/>
    <n v="0.1"/>
    <x v="1"/>
    <n v="4"/>
    <s v="Delivered"/>
    <n v="20000"/>
    <n v="2000"/>
    <x v="22"/>
    <s v="Normal"/>
    <s v="Low"/>
  </r>
  <r>
    <s v="ORD1030"/>
    <x v="29"/>
    <x v="9"/>
    <x v="4"/>
    <s v="Madurai"/>
    <x v="0"/>
    <s v="South"/>
    <x v="3"/>
    <x v="0"/>
    <n v="3"/>
    <n v="14500"/>
    <n v="0.05"/>
    <x v="0"/>
    <n v="3"/>
    <s v="Delivered"/>
    <n v="43500"/>
    <n v="2175"/>
    <x v="23"/>
    <s v="Fast"/>
    <s v="Medium"/>
  </r>
  <r>
    <s v="ORD1031"/>
    <x v="30"/>
    <x v="0"/>
    <x v="0"/>
    <s v="Coimbatore"/>
    <x v="0"/>
    <s v="South"/>
    <x v="0"/>
    <x v="0"/>
    <n v="1"/>
    <n v="65000"/>
    <n v="0.05"/>
    <x v="1"/>
    <n v="4"/>
    <s v="Delivered"/>
    <n v="65000"/>
    <n v="3250"/>
    <x v="18"/>
    <s v="Normal"/>
    <s v="High"/>
  </r>
  <r>
    <s v="ORD1032"/>
    <x v="31"/>
    <x v="1"/>
    <x v="1"/>
    <s v="Chennai"/>
    <x v="0"/>
    <s v="South"/>
    <x v="7"/>
    <x v="0"/>
    <n v="2"/>
    <n v="18500"/>
    <n v="0.1"/>
    <x v="0"/>
    <n v="6"/>
    <s v="Delivered"/>
    <n v="37000"/>
    <n v="3700"/>
    <x v="24"/>
    <s v="Normal"/>
    <s v="Medium"/>
  </r>
  <r>
    <s v="ORD1033"/>
    <x v="32"/>
    <x v="2"/>
    <x v="2"/>
    <s v="Kochi"/>
    <x v="1"/>
    <s v="South"/>
    <x v="5"/>
    <x v="1"/>
    <n v="2"/>
    <n v="12000"/>
    <n v="0.05"/>
    <x v="1"/>
    <n v="5"/>
    <s v="Delivered"/>
    <n v="24000"/>
    <n v="1200"/>
    <x v="6"/>
    <s v="Normal"/>
    <s v="Medium"/>
  </r>
  <r>
    <s v="ORD1034"/>
    <x v="33"/>
    <x v="3"/>
    <x v="3"/>
    <s v="Bengaluru"/>
    <x v="2"/>
    <s v="South"/>
    <x v="4"/>
    <x v="2"/>
    <n v="9"/>
    <n v="1800"/>
    <n v="0"/>
    <x v="0"/>
    <n v="2"/>
    <s v="Delivered"/>
    <n v="16200"/>
    <n v="0"/>
    <x v="25"/>
    <s v="Fast"/>
    <s v="Low"/>
  </r>
  <r>
    <s v="ORD1035"/>
    <x v="34"/>
    <x v="4"/>
    <x v="4"/>
    <s v="Madurai"/>
    <x v="0"/>
    <s v="South"/>
    <x v="1"/>
    <x v="1"/>
    <n v="3"/>
    <n v="8500"/>
    <n v="0.08"/>
    <x v="1"/>
    <n v="8"/>
    <s v="Delivered"/>
    <n v="25500"/>
    <n v="2040"/>
    <x v="26"/>
    <s v="Delayed"/>
    <s v="Medium"/>
  </r>
  <r>
    <s v="ORD1036"/>
    <x v="35"/>
    <x v="5"/>
    <x v="5"/>
    <s v="Coimbatore"/>
    <x v="0"/>
    <s v="South"/>
    <x v="3"/>
    <x v="0"/>
    <n v="2"/>
    <n v="14500"/>
    <n v="0.05"/>
    <x v="0"/>
    <n v="4"/>
    <s v="Delivered"/>
    <n v="29000"/>
    <n v="1450"/>
    <x v="16"/>
    <s v="Normal"/>
    <s v="Medium"/>
  </r>
  <r>
    <s v="ORD1037"/>
    <x v="36"/>
    <x v="6"/>
    <x v="6"/>
    <s v="Chennai"/>
    <x v="0"/>
    <s v="South"/>
    <x v="0"/>
    <x v="0"/>
    <n v="1"/>
    <n v="65000"/>
    <n v="0.12"/>
    <x v="1"/>
    <n v="5"/>
    <s v="Delivered"/>
    <n v="65000"/>
    <n v="7800"/>
    <x v="27"/>
    <s v="Normal"/>
    <s v="High"/>
  </r>
  <r>
    <s v="ORD1038"/>
    <x v="37"/>
    <x v="7"/>
    <x v="7"/>
    <s v="Kochi"/>
    <x v="1"/>
    <s v="South"/>
    <x v="2"/>
    <x v="2"/>
    <n v="12"/>
    <n v="1200"/>
    <n v="0.05"/>
    <x v="0"/>
    <n v="2"/>
    <s v="Delivered"/>
    <n v="14400"/>
    <n v="720"/>
    <x v="28"/>
    <s v="Fast"/>
    <s v="Low"/>
  </r>
  <r>
    <s v="ORD1039"/>
    <x v="38"/>
    <x v="8"/>
    <x v="8"/>
    <s v="Bengaluru"/>
    <x v="2"/>
    <s v="South"/>
    <x v="5"/>
    <x v="1"/>
    <n v="2"/>
    <n v="12000"/>
    <n v="0.1"/>
    <x v="1"/>
    <n v="7"/>
    <s v="Delivered"/>
    <n v="24000"/>
    <n v="2400"/>
    <x v="29"/>
    <s v="Delayed"/>
    <s v="Medium"/>
  </r>
  <r>
    <s v="ORD1040"/>
    <x v="39"/>
    <x v="9"/>
    <x v="4"/>
    <s v="Madurai"/>
    <x v="0"/>
    <s v="South"/>
    <x v="7"/>
    <x v="0"/>
    <n v="3"/>
    <n v="18500"/>
    <n v="0.05"/>
    <x v="0"/>
    <n v="4"/>
    <s v="Delivered"/>
    <n v="55500"/>
    <n v="2775"/>
    <x v="30"/>
    <s v="Normal"/>
    <s v="High"/>
  </r>
  <r>
    <s v="ORD1041"/>
    <x v="40"/>
    <x v="0"/>
    <x v="0"/>
    <s v="Coimbatore"/>
    <x v="0"/>
    <s v="South"/>
    <x v="6"/>
    <x v="2"/>
    <n v="5"/>
    <n v="2500"/>
    <n v="0"/>
    <x v="0"/>
    <n v="3"/>
    <s v="Delivered"/>
    <n v="12500"/>
    <n v="0"/>
    <x v="19"/>
    <s v="Fast"/>
    <s v="Low"/>
  </r>
  <r>
    <s v="ORD1042"/>
    <x v="41"/>
    <x v="1"/>
    <x v="1"/>
    <s v="Chennai"/>
    <x v="0"/>
    <s v="South"/>
    <x v="3"/>
    <x v="0"/>
    <n v="2"/>
    <n v="14500"/>
    <n v="0.08"/>
    <x v="1"/>
    <n v="5"/>
    <s v="Delivered"/>
    <n v="29000"/>
    <n v="2320"/>
    <x v="3"/>
    <s v="Normal"/>
    <s v="Medium"/>
  </r>
  <r>
    <s v="ORD1043"/>
    <x v="42"/>
    <x v="2"/>
    <x v="2"/>
    <s v="Kochi"/>
    <x v="1"/>
    <s v="South"/>
    <x v="0"/>
    <x v="0"/>
    <n v="2"/>
    <n v="65000"/>
    <n v="0.1"/>
    <x v="0"/>
    <n v="7"/>
    <s v="Delivered"/>
    <n v="130000"/>
    <n v="13000"/>
    <x v="31"/>
    <s v="Delayed"/>
    <s v="High"/>
  </r>
  <r>
    <s v="ORD1044"/>
    <x v="43"/>
    <x v="3"/>
    <x v="3"/>
    <s v="Bengaluru"/>
    <x v="2"/>
    <s v="South"/>
    <x v="1"/>
    <x v="1"/>
    <n v="4"/>
    <n v="8500"/>
    <n v="0.05"/>
    <x v="1"/>
    <n v="4"/>
    <s v="Delivered"/>
    <n v="34000"/>
    <n v="1700"/>
    <x v="32"/>
    <s v="Normal"/>
    <s v="Medium"/>
  </r>
  <r>
    <s v="ORD1045"/>
    <x v="44"/>
    <x v="4"/>
    <x v="4"/>
    <s v="Madurai"/>
    <x v="0"/>
    <s v="South"/>
    <x v="4"/>
    <x v="2"/>
    <n v="8"/>
    <n v="1800"/>
    <n v="0"/>
    <x v="2"/>
    <n v="2"/>
    <s v="Delivered"/>
    <n v="14400"/>
    <n v="0"/>
    <x v="33"/>
    <s v="Fast"/>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6">
  <location ref="A3:B13" firstHeaderRow="1" firstDataRow="1" firstDataCol="1"/>
  <pivotFields count="20">
    <pivotField compact="0" outline="0" showAll="0"/>
    <pivotField axis="axisRow" compact="0" numFmtId="14"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1"/>
  </rowFields>
  <rowItems count="10">
    <i>
      <x v="1"/>
    </i>
    <i>
      <x v="2"/>
    </i>
    <i>
      <x v="3"/>
    </i>
    <i>
      <x v="4"/>
    </i>
    <i>
      <x v="5"/>
    </i>
    <i>
      <x v="6"/>
    </i>
    <i>
      <x v="7"/>
    </i>
    <i>
      <x v="8"/>
    </i>
    <i>
      <x v="9"/>
    </i>
    <i t="grand">
      <x/>
    </i>
  </rowItems>
  <colItems count="1">
    <i/>
  </colItems>
  <dataFields count="1">
    <dataField name="Sum of Net Sales" fld="17" baseField="0" baseItem="0" numFmtId="164"/>
  </dataFields>
  <formats count="15">
    <format dxfId="203">
      <pivotArea type="all" dataOnly="0" outline="0" fieldPosition="0"/>
    </format>
    <format dxfId="202">
      <pivotArea outline="0" collapsedLevelsAreSubtotals="1" fieldPosition="0"/>
    </format>
    <format dxfId="201">
      <pivotArea field="1" type="button" dataOnly="0" labelOnly="1" outline="0" axis="axisRow" fieldPosition="0"/>
    </format>
    <format dxfId="200">
      <pivotArea dataOnly="0" labelOnly="1" outline="0" axis="axisValues" fieldPosition="0"/>
    </format>
    <format dxfId="199">
      <pivotArea dataOnly="0" labelOnly="1" outline="0" fieldPosition="0">
        <references count="1">
          <reference field="1" count="9">
            <x v="1"/>
            <x v="2"/>
            <x v="3"/>
            <x v="4"/>
            <x v="5"/>
            <x v="6"/>
            <x v="7"/>
            <x v="8"/>
            <x v="9"/>
          </reference>
        </references>
      </pivotArea>
    </format>
    <format dxfId="198">
      <pivotArea dataOnly="0" labelOnly="1" grandRow="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field="1" type="button" dataOnly="0" labelOnly="1" outline="0" axis="axisRow" fieldPosition="0"/>
    </format>
    <format dxfId="193">
      <pivotArea dataOnly="0" labelOnly="1" outline="0" axis="axisValues" fieldPosition="0"/>
    </format>
    <format dxfId="192">
      <pivotArea dataOnly="0" labelOnly="1" outline="0" fieldPosition="0">
        <references count="1">
          <reference field="1" count="9">
            <x v="1"/>
            <x v="2"/>
            <x v="3"/>
            <x v="4"/>
            <x v="5"/>
            <x v="6"/>
            <x v="7"/>
            <x v="8"/>
            <x v="9"/>
          </reference>
        </references>
      </pivotArea>
    </format>
    <format dxfId="191">
      <pivotArea dataOnly="0" labelOnly="1" grandRow="1" outline="0" fieldPosition="0"/>
    </format>
    <format dxfId="190">
      <pivotArea dataOnly="0" labelOnly="1" outline="0" axis="axisValues" fieldPosition="0"/>
    </format>
    <format dxfId="189">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7" firstHeaderRow="0" firstDataRow="1" firstDataCol="1"/>
  <pivotFields count="20">
    <pivotField showAll="0"/>
    <pivotField numFmtId="14" showAll="0"/>
    <pivotField showAll="0"/>
    <pivotField showAll="0">
      <items count="10">
        <item x="6"/>
        <item x="0"/>
        <item x="7"/>
        <item x="3"/>
        <item x="8"/>
        <item x="5"/>
        <item x="1"/>
        <item x="2"/>
        <item x="4"/>
        <item t="default"/>
      </items>
    </pivotField>
    <pivotField showAll="0"/>
    <pivotField showAll="0">
      <items count="4">
        <item x="2"/>
        <item x="1"/>
        <item x="0"/>
        <item t="default"/>
      </items>
    </pivotField>
    <pivotField showAll="0"/>
    <pivotField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numFmtId="9" showAll="0"/>
    <pivotField showAll="0">
      <items count="4">
        <item x="1"/>
        <item x="2"/>
        <item x="0"/>
        <item t="default"/>
      </items>
    </pivotField>
    <pivotField showAll="0"/>
    <pivotField showAll="0"/>
    <pivotField showAll="0"/>
    <pivotField showAll="0"/>
    <pivotField dataField="1" showAll="0"/>
    <pivotField showAll="0"/>
    <pivotField showAll="0"/>
  </pivotFields>
  <rowFields count="1">
    <field x="8"/>
  </rowFields>
  <rowItems count="4">
    <i>
      <x/>
    </i>
    <i>
      <x v="2"/>
    </i>
    <i>
      <x v="1"/>
    </i>
    <i t="grand">
      <x/>
    </i>
  </rowItems>
  <colFields count="1">
    <field x="-2"/>
  </colFields>
  <colItems count="2">
    <i>
      <x/>
    </i>
    <i i="1">
      <x v="1"/>
    </i>
  </colItems>
  <dataFields count="2">
    <dataField name="Sum of Net Sales" fld="17" baseField="0" baseItem="0" numFmtId="164"/>
    <dataField name="Sum of Quantity" fld="9" baseField="0" baseItem="0"/>
  </dataFields>
  <formats count="31">
    <format dxfId="188">
      <pivotArea type="all" dataOnly="0" outline="0" fieldPosition="0"/>
    </format>
    <format dxfId="187">
      <pivotArea outline="0" collapsedLevelsAreSubtotals="1" fieldPosition="0"/>
    </format>
    <format dxfId="186">
      <pivotArea field="8" type="button" dataOnly="0" labelOnly="1" outline="0" axis="axisRow" fieldPosition="0"/>
    </format>
    <format dxfId="185">
      <pivotArea dataOnly="0" labelOnly="1" fieldPosition="0">
        <references count="1">
          <reference field="8" count="0"/>
        </references>
      </pivotArea>
    </format>
    <format dxfId="184">
      <pivotArea dataOnly="0" labelOnly="1" grandRow="1" outline="0" fieldPosition="0"/>
    </format>
    <format dxfId="183">
      <pivotArea dataOnly="0" labelOnly="1" outline="0" fieldPosition="0">
        <references count="1">
          <reference field="4294967294" count="2">
            <x v="0"/>
            <x v="1"/>
          </reference>
        </references>
      </pivotArea>
    </format>
    <format dxfId="182">
      <pivotArea type="all" dataOnly="0" outline="0" fieldPosition="0"/>
    </format>
    <format dxfId="181">
      <pivotArea outline="0" collapsedLevelsAreSubtotals="1" fieldPosition="0"/>
    </format>
    <format dxfId="180">
      <pivotArea field="8" type="button" dataOnly="0" labelOnly="1" outline="0" axis="axisRow" fieldPosition="0"/>
    </format>
    <format dxfId="179">
      <pivotArea dataOnly="0" labelOnly="1" fieldPosition="0">
        <references count="1">
          <reference field="8" count="0"/>
        </references>
      </pivotArea>
    </format>
    <format dxfId="178">
      <pivotArea dataOnly="0" labelOnly="1" grandRow="1" outline="0" fieldPosition="0"/>
    </format>
    <format dxfId="177">
      <pivotArea dataOnly="0" labelOnly="1" outline="0" fieldPosition="0">
        <references count="1">
          <reference field="4294967294" count="2">
            <x v="0"/>
            <x v="1"/>
          </reference>
        </references>
      </pivotArea>
    </format>
    <format dxfId="176">
      <pivotArea type="all" dataOnly="0" outline="0" fieldPosition="0"/>
    </format>
    <format dxfId="175">
      <pivotArea outline="0" collapsedLevelsAreSubtotals="1" fieldPosition="0"/>
    </format>
    <format dxfId="174">
      <pivotArea field="8" type="button" dataOnly="0" labelOnly="1" outline="0" axis="axisRow" fieldPosition="0"/>
    </format>
    <format dxfId="173">
      <pivotArea dataOnly="0" labelOnly="1" fieldPosition="0">
        <references count="1">
          <reference field="8" count="0"/>
        </references>
      </pivotArea>
    </format>
    <format dxfId="172">
      <pivotArea dataOnly="0" labelOnly="1" grandRow="1" outline="0" fieldPosition="0"/>
    </format>
    <format dxfId="171">
      <pivotArea dataOnly="0" labelOnly="1" outline="0" fieldPosition="0">
        <references count="1">
          <reference field="4294967294" count="2">
            <x v="0"/>
            <x v="1"/>
          </reference>
        </references>
      </pivotArea>
    </format>
    <format dxfId="170">
      <pivotArea type="all" dataOnly="0" outline="0" fieldPosition="0"/>
    </format>
    <format dxfId="169">
      <pivotArea outline="0" collapsedLevelsAreSubtotals="1" fieldPosition="0"/>
    </format>
    <format dxfId="168">
      <pivotArea field="8" type="button" dataOnly="0" labelOnly="1" outline="0" axis="axisRow" fieldPosition="0"/>
    </format>
    <format dxfId="167">
      <pivotArea dataOnly="0" labelOnly="1" fieldPosition="0">
        <references count="1">
          <reference field="8" count="0"/>
        </references>
      </pivotArea>
    </format>
    <format dxfId="166">
      <pivotArea dataOnly="0" labelOnly="1" grandRow="1" outline="0" fieldPosition="0"/>
    </format>
    <format dxfId="165">
      <pivotArea dataOnly="0" labelOnly="1" outline="0" fieldPosition="0">
        <references count="1">
          <reference field="4294967294" count="2">
            <x v="0"/>
            <x v="1"/>
          </reference>
        </references>
      </pivotArea>
    </format>
    <format dxfId="164">
      <pivotArea type="all" dataOnly="0" outline="0" fieldPosition="0"/>
    </format>
    <format dxfId="163">
      <pivotArea outline="0" collapsedLevelsAreSubtotals="1" fieldPosition="0"/>
    </format>
    <format dxfId="162">
      <pivotArea field="8" type="button" dataOnly="0" labelOnly="1" outline="0" axis="axisRow" fieldPosition="0"/>
    </format>
    <format dxfId="161">
      <pivotArea dataOnly="0" labelOnly="1" fieldPosition="0">
        <references count="1">
          <reference field="8" count="0"/>
        </references>
      </pivotArea>
    </format>
    <format dxfId="160">
      <pivotArea dataOnly="0" labelOnly="1" grandRow="1" outline="0" fieldPosition="0"/>
    </format>
    <format dxfId="159">
      <pivotArea dataOnly="0" labelOnly="1" outline="0" fieldPosition="0">
        <references count="1">
          <reference field="4294967294" count="2">
            <x v="0"/>
            <x v="1"/>
          </reference>
        </references>
      </pivotArea>
    </format>
    <format dxfId="158">
      <pivotArea outline="0" collapsedLevelsAreSubtotals="1" fieldPosition="0">
        <references count="1">
          <reference field="4294967294" count="1" selected="0">
            <x v="0"/>
          </reference>
        </references>
      </pivotArea>
    </format>
  </format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0">
    <pivotField showAll="0"/>
    <pivotField numFmtId="14"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numFmtId="9"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um of Net Sales" fld="17" baseField="0" baseItem="0" numFmtId="164"/>
  </dataFields>
  <formats count="15">
    <format dxfId="157">
      <pivotArea type="all" dataOnly="0" outline="0" fieldPosition="0"/>
    </format>
    <format dxfId="156">
      <pivotArea outline="0" collapsedLevelsAreSubtotals="1" fieldPosition="0"/>
    </format>
    <format dxfId="155">
      <pivotArea field="5" type="button" dataOnly="0" labelOnly="1" outline="0" axis="axisRow" fieldPosition="0"/>
    </format>
    <format dxfId="154">
      <pivotArea dataOnly="0" labelOnly="1" outline="0" axis="axisValues" fieldPosition="0"/>
    </format>
    <format dxfId="153">
      <pivotArea dataOnly="0" labelOnly="1" fieldPosition="0">
        <references count="1">
          <reference field="5" count="0"/>
        </references>
      </pivotArea>
    </format>
    <format dxfId="152">
      <pivotArea dataOnly="0" labelOnly="1" grandRow="1" outline="0"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field="5" type="button" dataOnly="0" labelOnly="1" outline="0" axis="axisRow" fieldPosition="0"/>
    </format>
    <format dxfId="147">
      <pivotArea dataOnly="0" labelOnly="1" outline="0" axis="axisValues" fieldPosition="0"/>
    </format>
    <format dxfId="146">
      <pivotArea dataOnly="0" labelOnly="1" fieldPosition="0">
        <references count="1">
          <reference field="5" count="0"/>
        </references>
      </pivotArea>
    </format>
    <format dxfId="145">
      <pivotArea dataOnly="0" labelOnly="1" grandRow="1" outline="0" fieldPosition="0"/>
    </format>
    <format dxfId="144">
      <pivotArea dataOnly="0" labelOnly="1" outline="0" axis="axisValues" fieldPosition="0"/>
    </format>
    <format dxfId="143">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7" firstHeaderRow="0" firstDataRow="1" firstDataCol="1"/>
  <pivotFields count="20">
    <pivotField dataField="1" showAll="0"/>
    <pivotField numFmtId="14" showAll="0"/>
    <pivotField showAll="0"/>
    <pivotField showAll="0"/>
    <pivotField showAll="0"/>
    <pivotField showAll="0"/>
    <pivotField showAll="0"/>
    <pivotField showAll="0"/>
    <pivotField showAll="0"/>
    <pivotField showAll="0"/>
    <pivotField showAll="0"/>
    <pivotField numFmtId="9" showAll="0"/>
    <pivotField axis="axisRow" showAll="0">
      <items count="4">
        <item x="1"/>
        <item x="2"/>
        <item x="0"/>
        <item t="default"/>
      </items>
    </pivotField>
    <pivotField showAll="0"/>
    <pivotField showAll="0"/>
    <pivotField showAll="0"/>
    <pivotField showAll="0"/>
    <pivotField dataField="1" showAll="0"/>
    <pivotField showAll="0"/>
    <pivotField showAll="0"/>
  </pivotFields>
  <rowFields count="1">
    <field x="12"/>
  </rowFields>
  <rowItems count="4">
    <i>
      <x/>
    </i>
    <i>
      <x v="1"/>
    </i>
    <i>
      <x v="2"/>
    </i>
    <i t="grand">
      <x/>
    </i>
  </rowItems>
  <colFields count="1">
    <field x="-2"/>
  </colFields>
  <colItems count="2">
    <i>
      <x/>
    </i>
    <i i="1">
      <x v="1"/>
    </i>
  </colItems>
  <dataFields count="2">
    <dataField name="Sum of Net Sales" fld="17" baseField="0" baseItem="0" numFmtId="164"/>
    <dataField name="Count of OrderID" fld="0" subtotal="count" baseField="0" baseItem="0"/>
  </dataFields>
  <formats count="25">
    <format dxfId="142">
      <pivotArea outline="0" collapsedLevelsAreSubtotals="1" fieldPosition="0">
        <references count="1">
          <reference field="4294967294" count="1" selected="0">
            <x v="0"/>
          </reference>
        </references>
      </pivotArea>
    </format>
    <format dxfId="141">
      <pivotArea type="all" dataOnly="0" outline="0" fieldPosition="0"/>
    </format>
    <format dxfId="140">
      <pivotArea outline="0" collapsedLevelsAreSubtotals="1" fieldPosition="0"/>
    </format>
    <format dxfId="139">
      <pivotArea field="12" type="button" dataOnly="0" labelOnly="1" outline="0" axis="axisRow" fieldPosition="0"/>
    </format>
    <format dxfId="138">
      <pivotArea dataOnly="0" labelOnly="1" fieldPosition="0">
        <references count="1">
          <reference field="12" count="0"/>
        </references>
      </pivotArea>
    </format>
    <format dxfId="137">
      <pivotArea dataOnly="0" labelOnly="1" grandRow="1" outline="0" fieldPosition="0"/>
    </format>
    <format dxfId="136">
      <pivotArea dataOnly="0" labelOnly="1" outline="0" fieldPosition="0">
        <references count="1">
          <reference field="4294967294" count="2">
            <x v="0"/>
            <x v="1"/>
          </reference>
        </references>
      </pivotArea>
    </format>
    <format dxfId="135">
      <pivotArea type="all" dataOnly="0" outline="0" fieldPosition="0"/>
    </format>
    <format dxfId="134">
      <pivotArea outline="0" collapsedLevelsAreSubtotals="1" fieldPosition="0"/>
    </format>
    <format dxfId="133">
      <pivotArea field="12" type="button" dataOnly="0" labelOnly="1" outline="0" axis="axisRow" fieldPosition="0"/>
    </format>
    <format dxfId="132">
      <pivotArea dataOnly="0" labelOnly="1" fieldPosition="0">
        <references count="1">
          <reference field="12" count="0"/>
        </references>
      </pivotArea>
    </format>
    <format dxfId="131">
      <pivotArea dataOnly="0" labelOnly="1" grandRow="1" outline="0" fieldPosition="0"/>
    </format>
    <format dxfId="130">
      <pivotArea dataOnly="0" labelOnly="1" outline="0" fieldPosition="0">
        <references count="1">
          <reference field="4294967294" count="2">
            <x v="0"/>
            <x v="1"/>
          </reference>
        </references>
      </pivotArea>
    </format>
    <format dxfId="129">
      <pivotArea type="all" dataOnly="0" outline="0" fieldPosition="0"/>
    </format>
    <format dxfId="128">
      <pivotArea outline="0" collapsedLevelsAreSubtotals="1" fieldPosition="0"/>
    </format>
    <format dxfId="127">
      <pivotArea field="12" type="button" dataOnly="0" labelOnly="1" outline="0" axis="axisRow" fieldPosition="0"/>
    </format>
    <format dxfId="126">
      <pivotArea dataOnly="0" labelOnly="1" fieldPosition="0">
        <references count="1">
          <reference field="12" count="0"/>
        </references>
      </pivotArea>
    </format>
    <format dxfId="125">
      <pivotArea dataOnly="0" labelOnly="1" grandRow="1" outline="0" fieldPosition="0"/>
    </format>
    <format dxfId="124">
      <pivotArea dataOnly="0" labelOnly="1" outline="0" fieldPosition="0">
        <references count="1">
          <reference field="4294967294" count="2">
            <x v="0"/>
            <x v="1"/>
          </reference>
        </references>
      </pivotArea>
    </format>
    <format dxfId="123">
      <pivotArea type="all" dataOnly="0" outline="0" fieldPosition="0"/>
    </format>
    <format dxfId="122">
      <pivotArea outline="0" collapsedLevelsAreSubtotals="1" fieldPosition="0"/>
    </format>
    <format dxfId="121">
      <pivotArea field="12" type="button" dataOnly="0" labelOnly="1" outline="0" axis="axisRow" fieldPosition="0"/>
    </format>
    <format dxfId="120">
      <pivotArea dataOnly="0" labelOnly="1" fieldPosition="0">
        <references count="1">
          <reference field="12" count="0"/>
        </references>
      </pivotArea>
    </format>
    <format dxfId="119">
      <pivotArea dataOnly="0" labelOnly="1" grandRow="1" outline="0" fieldPosition="0"/>
    </format>
    <format dxfId="118">
      <pivotArea dataOnly="0" labelOnly="1" outline="0" fieldPosition="0">
        <references count="1">
          <reference field="4294967294" count="2">
            <x v="0"/>
            <x v="1"/>
          </reference>
        </references>
      </pivotArea>
    </format>
  </formats>
  <chartFormats count="16">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2" format="22" series="1">
      <pivotArea type="data" outline="0" fieldPosition="0">
        <references count="1">
          <reference field="4294967294" count="1" selected="0">
            <x v="0"/>
          </reference>
        </references>
      </pivotArea>
    </chartFormat>
    <chartFormat chart="2" format="23" series="1">
      <pivotArea type="data" outline="0" fieldPosition="0">
        <references count="1">
          <reference field="4294967294" count="1" selected="0">
            <x v="1"/>
          </reference>
        </references>
      </pivotArea>
    </chartFormat>
    <chartFormat chart="2" format="24">
      <pivotArea type="data" outline="0" fieldPosition="0">
        <references count="2">
          <reference field="4294967294" count="1" selected="0">
            <x v="0"/>
          </reference>
          <reference field="12" count="1" selected="0">
            <x v="0"/>
          </reference>
        </references>
      </pivotArea>
    </chartFormat>
    <chartFormat chart="2" format="25">
      <pivotArea type="data" outline="0" fieldPosition="0">
        <references count="2">
          <reference field="4294967294" count="1" selected="0">
            <x v="0"/>
          </reference>
          <reference field="12" count="1" selected="0">
            <x v="1"/>
          </reference>
        </references>
      </pivotArea>
    </chartFormat>
    <chartFormat chart="2" format="26">
      <pivotArea type="data" outline="0" fieldPosition="0">
        <references count="2">
          <reference field="4294967294" count="1" selected="0">
            <x v="0"/>
          </reference>
          <reference field="12" count="1" selected="0">
            <x v="2"/>
          </reference>
        </references>
      </pivotArea>
    </chartFormat>
    <chartFormat chart="2" format="27">
      <pivotArea type="data" outline="0" fieldPosition="0">
        <references count="2">
          <reference field="4294967294" count="1" selected="0">
            <x v="1"/>
          </reference>
          <reference field="12" count="1" selected="0">
            <x v="0"/>
          </reference>
        </references>
      </pivotArea>
    </chartFormat>
    <chartFormat chart="2" format="28">
      <pivotArea type="data" outline="0" fieldPosition="0">
        <references count="2">
          <reference field="4294967294" count="1" selected="0">
            <x v="1"/>
          </reference>
          <reference field="12" count="1" selected="0">
            <x v="1"/>
          </reference>
        </references>
      </pivotArea>
    </chartFormat>
    <chartFormat chart="2" format="29">
      <pivotArea type="data" outline="0" fieldPosition="0">
        <references count="2">
          <reference field="4294967294" count="1" selected="0">
            <x v="1"/>
          </reference>
          <reference field="12" count="1" selected="0">
            <x v="2"/>
          </reference>
        </references>
      </pivotArea>
    </chartFormat>
    <chartFormat chart="0" format="6">
      <pivotArea type="data" outline="0" fieldPosition="0">
        <references count="2">
          <reference field="4294967294" count="1" selected="0">
            <x v="0"/>
          </reference>
          <reference field="12" count="1" selected="0">
            <x v="0"/>
          </reference>
        </references>
      </pivotArea>
    </chartFormat>
    <chartFormat chart="0" format="7">
      <pivotArea type="data" outline="0" fieldPosition="0">
        <references count="2">
          <reference field="4294967294" count="1" selected="0">
            <x v="0"/>
          </reference>
          <reference field="12" count="1" selected="0">
            <x v="1"/>
          </reference>
        </references>
      </pivotArea>
    </chartFormat>
    <chartFormat chart="0" format="8">
      <pivotArea type="data" outline="0" fieldPosition="0">
        <references count="2">
          <reference field="4294967294" count="1" selected="0">
            <x v="0"/>
          </reference>
          <reference field="12" count="1" selected="0">
            <x v="2"/>
          </reference>
        </references>
      </pivotArea>
    </chartFormat>
    <chartFormat chart="0" format="9">
      <pivotArea type="data" outline="0" fieldPosition="0">
        <references count="2">
          <reference field="4294967294" count="1" selected="0">
            <x v="1"/>
          </reference>
          <reference field="12" count="1" selected="0">
            <x v="0"/>
          </reference>
        </references>
      </pivotArea>
    </chartFormat>
    <chartFormat chart="0" format="10">
      <pivotArea type="data" outline="0" fieldPosition="0">
        <references count="2">
          <reference field="4294967294" count="1" selected="0">
            <x v="1"/>
          </reference>
          <reference field="12" count="1" selected="0">
            <x v="1"/>
          </reference>
        </references>
      </pivotArea>
    </chartFormat>
    <chartFormat chart="0" format="11">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20">
    <pivotField showAll="0"/>
    <pivotField numFmtId="14" showAll="0"/>
    <pivotField showAll="0">
      <items count="11">
        <item x="0"/>
        <item x="1"/>
        <item x="2"/>
        <item x="3"/>
        <item x="4"/>
        <item x="5"/>
        <item x="6"/>
        <item x="7"/>
        <item x="8"/>
        <item x="9"/>
        <item t="default"/>
      </items>
    </pivotField>
    <pivotField axis="axisRow" showAll="0" measureFilter="1">
      <items count="10">
        <item x="6"/>
        <item x="0"/>
        <item x="7"/>
        <item x="3"/>
        <item x="8"/>
        <item x="5"/>
        <item x="1"/>
        <item x="2"/>
        <item x="4"/>
        <item t="default"/>
      </items>
    </pivotField>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dataField="1" showAll="0"/>
    <pivotField showAll="0"/>
    <pivotField showAll="0"/>
  </pivotFields>
  <rowFields count="1">
    <field x="3"/>
  </rowFields>
  <rowItems count="6">
    <i>
      <x v="1"/>
    </i>
    <i>
      <x v="5"/>
    </i>
    <i>
      <x v="6"/>
    </i>
    <i>
      <x v="7"/>
    </i>
    <i>
      <x v="8"/>
    </i>
    <i t="grand">
      <x/>
    </i>
  </rowItems>
  <colItems count="1">
    <i/>
  </colItems>
  <dataFields count="1">
    <dataField name="Sum of Net Sales" fld="17"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0">
    <pivotField showAll="0"/>
    <pivotField numFmtId="14"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numFmtId="9" showAll="0"/>
    <pivotField showAll="0"/>
    <pivotField showAll="0"/>
    <pivotField showAll="0"/>
    <pivotField showAll="0"/>
    <pivotField showAll="0"/>
    <pivotField dataField="1" showAll="0"/>
    <pivotField showAll="0"/>
    <pivotField showAll="0"/>
  </pivotFields>
  <rowFields count="1">
    <field x="8"/>
  </rowFields>
  <rowItems count="4">
    <i>
      <x/>
    </i>
    <i>
      <x v="1"/>
    </i>
    <i>
      <x v="2"/>
    </i>
    <i t="grand">
      <x/>
    </i>
  </rowItems>
  <colItems count="1">
    <i/>
  </colItems>
  <dataFields count="1">
    <dataField name="Sum of Net Sales" fld="17" showDataAs="percentOfTotal" baseField="0" baseItem="0" numFmtId="1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1" firstHeaderRow="0" firstDataRow="1" firstDataCol="1"/>
  <pivotFields count="20">
    <pivotField dataField="1" showAll="0"/>
    <pivotField numFmtId="14" showAll="0"/>
    <pivotField showAll="0"/>
    <pivotField axis="axisRow" showAll="0" measureFilter="1" sortType="descending">
      <items count="10">
        <item x="6"/>
        <item x="0"/>
        <item x="7"/>
        <item x="3"/>
        <item x="8"/>
        <item x="5"/>
        <item x="1"/>
        <item x="2"/>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dataField="1" showAll="0">
      <items count="35">
        <item x="2"/>
        <item x="4"/>
        <item x="14"/>
        <item x="13"/>
        <item x="20"/>
        <item x="19"/>
        <item x="12"/>
        <item x="28"/>
        <item x="33"/>
        <item x="7"/>
        <item x="10"/>
        <item x="25"/>
        <item x="22"/>
        <item x="29"/>
        <item x="6"/>
        <item x="1"/>
        <item x="26"/>
        <item x="3"/>
        <item x="16"/>
        <item x="17"/>
        <item x="32"/>
        <item x="24"/>
        <item x="21"/>
        <item x="9"/>
        <item x="8"/>
        <item x="23"/>
        <item x="15"/>
        <item x="30"/>
        <item x="27"/>
        <item x="5"/>
        <item x="18"/>
        <item x="11"/>
        <item x="31"/>
        <item x="0"/>
        <item t="default"/>
      </items>
    </pivotField>
    <pivotField showAll="0"/>
    <pivotField showAll="0"/>
  </pivotFields>
  <rowFields count="1">
    <field x="3"/>
  </rowFields>
  <rowItems count="8">
    <i>
      <x v="8"/>
    </i>
    <i>
      <x v="1"/>
    </i>
    <i>
      <x v="6"/>
    </i>
    <i>
      <x v="7"/>
    </i>
    <i>
      <x/>
    </i>
    <i>
      <x v="4"/>
    </i>
    <i>
      <x v="5"/>
    </i>
    <i t="grand">
      <x/>
    </i>
  </rowItems>
  <colFields count="1">
    <field x="-2"/>
  </colFields>
  <colItems count="2">
    <i>
      <x/>
    </i>
    <i i="1">
      <x v="1"/>
    </i>
  </colItems>
  <dataFields count="2">
    <dataField name="Sum of Net Sales" fld="17" baseField="0" baseItem="0"/>
    <dataField name="Count of OrderID" fld="0" subtotal="count" baseField="0" baseItem="0"/>
  </dataFields>
  <formats count="6">
    <format dxfId="109">
      <pivotArea type="all" dataOnly="0" outline="0" fieldPosition="0"/>
    </format>
    <format dxfId="108">
      <pivotArea outline="0" collapsedLevelsAreSubtotals="1" fieldPosition="0"/>
    </format>
    <format dxfId="107">
      <pivotArea field="3" type="button" dataOnly="0" labelOnly="1" outline="0" axis="axisRow" fieldPosition="0"/>
    </format>
    <format dxfId="106">
      <pivotArea dataOnly="0" labelOnly="1" fieldPosition="0">
        <references count="1">
          <reference field="3" count="0"/>
        </references>
      </pivotArea>
    </format>
    <format dxfId="105">
      <pivotArea dataOnly="0" labelOnly="1" grandRow="1" outline="0" fieldPosition="0"/>
    </format>
    <format dxfId="10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3" type="valueGreaterThan" evalOrder="-1" id="2" iMeasureFld="0">
      <autoFilter ref="A1">
        <filterColumn colId="0">
          <customFilters>
            <customFilter operator="greaterThan" val="10000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20">
    <pivotField showAll="0"/>
    <pivotField numFmtId="14" showAll="0"/>
    <pivotField showAll="0"/>
    <pivotField showAll="0"/>
    <pivotField showAll="0"/>
    <pivotField showAll="0"/>
    <pivotField showAll="0"/>
    <pivotField axis="axisRow" showAll="0" sortType="descending">
      <items count="9">
        <item x="6"/>
        <item x="4"/>
        <item x="0"/>
        <item x="3"/>
        <item x="1"/>
        <item x="5"/>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showAll="0"/>
    <pivotField showAll="0"/>
    <pivotField showAll="0"/>
    <pivotField showAll="0"/>
    <pivotField dataField="1" showAll="0"/>
    <pivotField showAll="0"/>
    <pivotField showAll="0"/>
  </pivotFields>
  <rowFields count="1">
    <field x="7"/>
  </rowFields>
  <rowItems count="9">
    <i>
      <x v="2"/>
    </i>
    <i>
      <x v="6"/>
    </i>
    <i>
      <x v="3"/>
    </i>
    <i>
      <x v="4"/>
    </i>
    <i>
      <x v="5"/>
    </i>
    <i>
      <x v="1"/>
    </i>
    <i>
      <x/>
    </i>
    <i>
      <x v="7"/>
    </i>
    <i t="grand">
      <x/>
    </i>
  </rowItems>
  <colItems count="1">
    <i/>
  </colItems>
  <dataFields count="1">
    <dataField name="Sum of Net Sales" fld="17" baseField="0" baseItem="0" numFmtId="165"/>
  </dataFields>
  <formats count="7">
    <format dxfId="41">
      <pivotArea collapsedLevelsAreSubtotals="1" fieldPosition="0">
        <references count="1">
          <reference field="7" count="1">
            <x v="2"/>
          </reference>
        </references>
      </pivotArea>
    </format>
    <format dxfId="39">
      <pivotArea outline="0" collapsedLevelsAreSubtotals="1" fieldPosition="0"/>
    </format>
    <format dxfId="38">
      <pivotArea dataOnly="0" labelOnly="1" outline="0" axis="axisValues" fieldPosition="0"/>
    </format>
    <format dxfId="37">
      <pivotArea dataOnly="0" labelOnly="1" outline="0" axis="axisValues" fieldPosition="0"/>
    </format>
    <format dxfId="32">
      <pivotArea outline="0" collapsedLevelsAreSubtotals="1" fieldPosition="0"/>
    </format>
    <format dxfId="31">
      <pivotArea dataOnly="0" labelOnly="1" outline="0" axis="axisValues"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20">
    <pivotField showAll="0"/>
    <pivotField numFmtId="14" showAll="0"/>
    <pivotField showAll="0"/>
    <pivotField showAll="0"/>
    <pivotField showAll="0"/>
    <pivotField showAll="0"/>
    <pivotField showAll="0"/>
    <pivotField axis="axisRow" showAll="0" sortType="descending">
      <items count="9">
        <item x="6"/>
        <item x="4"/>
        <item x="0"/>
        <item x="3"/>
        <item x="1"/>
        <item x="5"/>
        <item x="7"/>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9" showAll="0"/>
    <pivotField showAll="0"/>
    <pivotField showAll="0"/>
    <pivotField showAll="0"/>
    <pivotField showAll="0"/>
    <pivotField showAll="0"/>
    <pivotField showAll="0"/>
    <pivotField showAll="0"/>
    <pivotField showAll="0"/>
  </pivotFields>
  <rowFields count="1">
    <field x="7"/>
  </rowFields>
  <rowItems count="9">
    <i>
      <x v="7"/>
    </i>
    <i>
      <x v="1"/>
    </i>
    <i>
      <x/>
    </i>
    <i>
      <x v="4"/>
    </i>
    <i>
      <x v="3"/>
    </i>
    <i>
      <x v="6"/>
    </i>
    <i>
      <x v="2"/>
    </i>
    <i>
      <x v="5"/>
    </i>
    <i t="grand">
      <x/>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20">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 showAll="0"/>
    <pivotField showAll="0"/>
    <pivotField showAll="0"/>
    <pivotField showAll="0"/>
    <pivotField showAll="0"/>
  </pivotFields>
  <rowFields count="1">
    <field x="1"/>
  </rowFields>
  <rowItems count="10">
    <i>
      <x v="6"/>
    </i>
    <i>
      <x v="9"/>
    </i>
    <i>
      <x v="8"/>
    </i>
    <i>
      <x v="3"/>
    </i>
    <i>
      <x v="5"/>
    </i>
    <i>
      <x v="7"/>
    </i>
    <i>
      <x v="1"/>
    </i>
    <i>
      <x v="4"/>
    </i>
    <i>
      <x v="2"/>
    </i>
    <i t="grand">
      <x/>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Name" sourceName="CustomerName">
  <pivotTables>
    <pivotTable tabId="3" name="PivotTable1"/>
  </pivotTables>
  <data>
    <tabular pivotCacheId="1">
      <items count="9">
        <i x="6" s="1"/>
        <i x="0" s="1"/>
        <i x="7" s="1"/>
        <i x="3" s="1"/>
        <i x="8" s="1"/>
        <i x="5"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1"/>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 sourceName="Payment">
  <pivotTables>
    <pivotTable tabId="3" name="PivotTable1"/>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Name" cache="Slicer_CustomerName" caption="CustomerName" startItem="1" rowHeight="241300"/>
  <slicer name="State" cache="Slicer_State" caption="State" rowHeight="241300"/>
  <slicer name="Category" cache="Slicer_Category" caption="Category" rowHeight="241300"/>
  <slicer name="Payment" cache="Slicer_Payment" caption="Payment" rowHeight="241300"/>
</slicers>
</file>

<file path=xl/tables/table1.xml><?xml version="1.0" encoding="utf-8"?>
<table xmlns="http://schemas.openxmlformats.org/spreadsheetml/2006/main" id="5" name="Table" displayName="Table" ref="A1:T46" totalsRowShown="0" headerRowDxfId="116">
  <autoFilter ref="A1:T46">
    <filterColumn colId="17">
      <customFilters>
        <customFilter operator="greaterThan" val="50000"/>
      </customFilters>
    </filterColumn>
  </autoFilter>
  <tableColumns count="20">
    <tableColumn id="1" name="OrderID"/>
    <tableColumn id="2" name="OrderDate" dataDxfId="115"/>
    <tableColumn id="3" name="CustomerID"/>
    <tableColumn id="4" name="CustomerName"/>
    <tableColumn id="5" name="City" dataDxfId="114"/>
    <tableColumn id="6" name="State" dataDxfId="113"/>
    <tableColumn id="7" name="Region"/>
    <tableColumn id="8" name="Product" dataDxfId="112"/>
    <tableColumn id="9" name="Category"/>
    <tableColumn id="10" name="Quantity"/>
    <tableColumn id="11" name="UnitPrice"/>
    <tableColumn id="12" name="Discount" dataDxfId="111"/>
    <tableColumn id="13" name="Payment"/>
    <tableColumn id="14" name="DeliveryDays"/>
    <tableColumn id="15" name="OrderStatus"/>
    <tableColumn id="16" name="Gross Sales" dataDxfId="110">
      <calculatedColumnFormula>J:J*K:K</calculatedColumnFormula>
    </tableColumn>
    <tableColumn id="17" name="Discount Amount">
      <calculatedColumnFormula>P:P*L:L</calculatedColumnFormula>
    </tableColumn>
    <tableColumn id="18" name="Net Sales">
      <calculatedColumnFormula>P:P-Q:Q</calculatedColumnFormula>
    </tableColumn>
    <tableColumn id="19" name="Delivery Status">
      <calculatedColumnFormula>IF(N2&lt;=3,"Fast",IF(N2&lt;=6,"Normal","Delayed"))</calculatedColumnFormula>
    </tableColumn>
    <tableColumn id="20" name="Sales Category">
      <calculatedColumnFormula>IF(R2&gt;=50000,"High",IF(R2&gt;=20000,"Medium",IF(R2&lt;20000,"Low")))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3"/>
  <sheetViews>
    <sheetView workbookViewId="0">
      <selection activeCell="C10" sqref="C10"/>
    </sheetView>
  </sheetViews>
  <sheetFormatPr defaultRowHeight="15" x14ac:dyDescent="0.25"/>
  <cols>
    <col min="1" max="1" width="12.5703125" customWidth="1"/>
    <col min="2" max="2" width="16" customWidth="1"/>
  </cols>
  <sheetData>
    <row r="2" spans="1:2" x14ac:dyDescent="0.25">
      <c r="A2" s="89" t="s">
        <v>138</v>
      </c>
      <c r="B2" s="89"/>
    </row>
    <row r="3" spans="1:2" x14ac:dyDescent="0.25">
      <c r="A3" s="15" t="s">
        <v>0</v>
      </c>
      <c r="B3" s="9" t="s">
        <v>1</v>
      </c>
    </row>
    <row r="4" spans="1:2" x14ac:dyDescent="0.25">
      <c r="A4" s="16" t="s">
        <v>129</v>
      </c>
      <c r="B4" s="11">
        <v>185970</v>
      </c>
    </row>
    <row r="5" spans="1:2" x14ac:dyDescent="0.25">
      <c r="A5" s="16" t="s">
        <v>130</v>
      </c>
      <c r="B5" s="11">
        <v>169730</v>
      </c>
    </row>
    <row r="6" spans="1:2" x14ac:dyDescent="0.25">
      <c r="A6" s="16" t="s">
        <v>131</v>
      </c>
      <c r="B6" s="11">
        <v>159170</v>
      </c>
    </row>
    <row r="7" spans="1:2" x14ac:dyDescent="0.25">
      <c r="A7" s="16" t="s">
        <v>132</v>
      </c>
      <c r="B7" s="11">
        <v>183460</v>
      </c>
    </row>
    <row r="8" spans="1:2" x14ac:dyDescent="0.25">
      <c r="A8" s="16" t="s">
        <v>133</v>
      </c>
      <c r="B8" s="11">
        <v>162330</v>
      </c>
    </row>
    <row r="9" spans="1:2" x14ac:dyDescent="0.25">
      <c r="A9" s="16" t="s">
        <v>134</v>
      </c>
      <c r="B9" s="11">
        <v>120315</v>
      </c>
    </row>
    <row r="10" spans="1:2" x14ac:dyDescent="0.25">
      <c r="A10" s="16" t="s">
        <v>135</v>
      </c>
      <c r="B10" s="11">
        <v>157510</v>
      </c>
    </row>
    <row r="11" spans="1:2" x14ac:dyDescent="0.25">
      <c r="A11" s="16" t="s">
        <v>136</v>
      </c>
      <c r="B11" s="11">
        <v>172755</v>
      </c>
    </row>
    <row r="12" spans="1:2" x14ac:dyDescent="0.25">
      <c r="A12" s="16" t="s">
        <v>137</v>
      </c>
      <c r="B12" s="11">
        <v>202880</v>
      </c>
    </row>
    <row r="13" spans="1:2" x14ac:dyDescent="0.25">
      <c r="A13" s="16" t="s">
        <v>2</v>
      </c>
      <c r="B13" s="11">
        <v>1514120</v>
      </c>
    </row>
  </sheetData>
  <mergeCells count="1">
    <mergeCell ref="A2:B2"/>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B3" sqref="B3"/>
    </sheetView>
  </sheetViews>
  <sheetFormatPr defaultRowHeight="15" x14ac:dyDescent="0.25"/>
  <cols>
    <col min="1" max="1" width="13.140625" bestFit="1" customWidth="1"/>
    <col min="2" max="2" width="16" bestFit="1" customWidth="1"/>
    <col min="3" max="3" width="15.42578125" bestFit="1" customWidth="1"/>
  </cols>
  <sheetData>
    <row r="1" spans="1:3" x14ac:dyDescent="0.25">
      <c r="A1" s="19"/>
      <c r="B1" s="19"/>
      <c r="C1" s="19"/>
    </row>
    <row r="2" spans="1:3" x14ac:dyDescent="0.25">
      <c r="A2" s="89" t="s">
        <v>141</v>
      </c>
      <c r="B2" s="89"/>
      <c r="C2" s="89"/>
    </row>
    <row r="3" spans="1:3" x14ac:dyDescent="0.25">
      <c r="A3" s="15" t="s">
        <v>139</v>
      </c>
      <c r="B3" s="9" t="s">
        <v>1</v>
      </c>
      <c r="C3" s="9" t="s">
        <v>140</v>
      </c>
    </row>
    <row r="4" spans="1:3" x14ac:dyDescent="0.25">
      <c r="A4" s="18" t="s">
        <v>48</v>
      </c>
      <c r="B4" s="11">
        <v>159040</v>
      </c>
      <c r="C4" s="17">
        <v>93</v>
      </c>
    </row>
    <row r="5" spans="1:3" x14ac:dyDescent="0.25">
      <c r="A5" s="18" t="s">
        <v>39</v>
      </c>
      <c r="B5" s="11">
        <v>250210</v>
      </c>
      <c r="C5" s="17">
        <v>28</v>
      </c>
    </row>
    <row r="6" spans="1:3" x14ac:dyDescent="0.25">
      <c r="A6" s="18" t="s">
        <v>30</v>
      </c>
      <c r="B6" s="11">
        <v>1104870</v>
      </c>
      <c r="C6" s="17">
        <v>41</v>
      </c>
    </row>
    <row r="7" spans="1:3" x14ac:dyDescent="0.25">
      <c r="A7" s="18" t="s">
        <v>2</v>
      </c>
      <c r="B7" s="11">
        <v>1514120</v>
      </c>
      <c r="C7" s="17">
        <v>162</v>
      </c>
    </row>
  </sheetData>
  <mergeCells count="1">
    <mergeCell ref="A2:C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workbookViewId="0">
      <selection activeCell="B4" sqref="B4"/>
    </sheetView>
  </sheetViews>
  <sheetFormatPr defaultRowHeight="15" x14ac:dyDescent="0.25"/>
  <cols>
    <col min="1" max="1" width="13.140625" bestFit="1" customWidth="1"/>
    <col min="2" max="2" width="16" bestFit="1" customWidth="1"/>
  </cols>
  <sheetData>
    <row r="2" spans="1:2" x14ac:dyDescent="0.25">
      <c r="A2" s="89" t="s">
        <v>142</v>
      </c>
      <c r="B2" s="89"/>
    </row>
    <row r="3" spans="1:2" x14ac:dyDescent="0.25">
      <c r="A3" s="15" t="s">
        <v>139</v>
      </c>
      <c r="B3" s="9" t="s">
        <v>1</v>
      </c>
    </row>
    <row r="4" spans="1:2" x14ac:dyDescent="0.25">
      <c r="A4" s="18" t="s">
        <v>54</v>
      </c>
      <c r="B4" s="11">
        <v>237010</v>
      </c>
    </row>
    <row r="5" spans="1:2" x14ac:dyDescent="0.25">
      <c r="A5" s="18" t="s">
        <v>46</v>
      </c>
      <c r="B5" s="11">
        <v>278400</v>
      </c>
    </row>
    <row r="6" spans="1:2" x14ac:dyDescent="0.25">
      <c r="A6" s="18" t="s">
        <v>27</v>
      </c>
      <c r="B6" s="11">
        <v>998710</v>
      </c>
    </row>
    <row r="7" spans="1:2" x14ac:dyDescent="0.25">
      <c r="A7" s="18" t="s">
        <v>2</v>
      </c>
      <c r="B7" s="11">
        <v>1514120</v>
      </c>
    </row>
  </sheetData>
  <mergeCells count="1">
    <mergeCell ref="A2:B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7"/>
  <sheetViews>
    <sheetView topLeftCell="A10" workbookViewId="0">
      <selection activeCell="A2" sqref="A2:C2"/>
    </sheetView>
  </sheetViews>
  <sheetFormatPr defaultRowHeight="15" x14ac:dyDescent="0.25"/>
  <cols>
    <col min="1" max="1" width="13.140625" bestFit="1" customWidth="1"/>
    <col min="2" max="2" width="16" bestFit="1" customWidth="1"/>
    <col min="3" max="3" width="16.140625" bestFit="1" customWidth="1"/>
  </cols>
  <sheetData>
    <row r="2" spans="1:3" x14ac:dyDescent="0.25">
      <c r="A2" s="89" t="s">
        <v>144</v>
      </c>
      <c r="B2" s="89"/>
      <c r="C2" s="89"/>
    </row>
    <row r="3" spans="1:3" x14ac:dyDescent="0.25">
      <c r="A3" s="15" t="s">
        <v>139</v>
      </c>
      <c r="B3" s="9" t="s">
        <v>1</v>
      </c>
      <c r="C3" s="9" t="s">
        <v>143</v>
      </c>
    </row>
    <row r="4" spans="1:3" x14ac:dyDescent="0.25">
      <c r="A4" s="18" t="s">
        <v>40</v>
      </c>
      <c r="B4" s="11">
        <v>588360</v>
      </c>
      <c r="C4" s="17">
        <v>19</v>
      </c>
    </row>
    <row r="5" spans="1:3" x14ac:dyDescent="0.25">
      <c r="A5" s="18" t="s">
        <v>62</v>
      </c>
      <c r="B5" s="11">
        <v>57740</v>
      </c>
      <c r="C5" s="17">
        <v>5</v>
      </c>
    </row>
    <row r="6" spans="1:3" x14ac:dyDescent="0.25">
      <c r="A6" s="18" t="s">
        <v>31</v>
      </c>
      <c r="B6" s="11">
        <v>868020</v>
      </c>
      <c r="C6" s="17">
        <v>21</v>
      </c>
    </row>
    <row r="7" spans="1:3" x14ac:dyDescent="0.25">
      <c r="A7" s="18" t="s">
        <v>2</v>
      </c>
      <c r="B7" s="11">
        <v>1514120</v>
      </c>
      <c r="C7" s="17">
        <v>45</v>
      </c>
    </row>
  </sheetData>
  <mergeCells count="1">
    <mergeCell ref="A2:C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16" sqref="B16"/>
    </sheetView>
  </sheetViews>
  <sheetFormatPr defaultRowHeight="15" x14ac:dyDescent="0.25"/>
  <cols>
    <col min="1" max="1" width="13.140625" bestFit="1" customWidth="1"/>
    <col min="2" max="2" width="16" customWidth="1"/>
  </cols>
  <sheetData>
    <row r="3" spans="1:2" x14ac:dyDescent="0.25">
      <c r="A3" s="86" t="s">
        <v>139</v>
      </c>
      <c r="B3" t="s">
        <v>1</v>
      </c>
    </row>
    <row r="4" spans="1:2" x14ac:dyDescent="0.25">
      <c r="A4" s="87" t="s">
        <v>25</v>
      </c>
      <c r="B4" s="7">
        <v>249050</v>
      </c>
    </row>
    <row r="5" spans="1:2" x14ac:dyDescent="0.25">
      <c r="A5" s="87" t="s">
        <v>66</v>
      </c>
      <c r="B5" s="7">
        <v>147910</v>
      </c>
    </row>
    <row r="6" spans="1:2" x14ac:dyDescent="0.25">
      <c r="A6" s="87" t="s">
        <v>36</v>
      </c>
      <c r="B6" s="7">
        <v>224030</v>
      </c>
    </row>
    <row r="7" spans="1:2" x14ac:dyDescent="0.25">
      <c r="A7" s="87" t="s">
        <v>44</v>
      </c>
      <c r="B7" s="7">
        <v>185080</v>
      </c>
    </row>
    <row r="8" spans="1:2" x14ac:dyDescent="0.25">
      <c r="A8" s="87" t="s">
        <v>59</v>
      </c>
      <c r="B8" s="7">
        <v>254020</v>
      </c>
    </row>
    <row r="9" spans="1:2" x14ac:dyDescent="0.25">
      <c r="A9" s="87" t="s">
        <v>2</v>
      </c>
      <c r="B9" s="7">
        <v>1060090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4" sqref="A4"/>
    </sheetView>
  </sheetViews>
  <sheetFormatPr defaultRowHeight="15" x14ac:dyDescent="0.25"/>
  <cols>
    <col min="1" max="1" width="13.140625" bestFit="1" customWidth="1"/>
    <col min="2" max="2" width="16" bestFit="1" customWidth="1"/>
  </cols>
  <sheetData>
    <row r="3" spans="1:2" x14ac:dyDescent="0.25">
      <c r="A3" s="86" t="s">
        <v>139</v>
      </c>
      <c r="B3" t="s">
        <v>1</v>
      </c>
    </row>
    <row r="4" spans="1:2" x14ac:dyDescent="0.25">
      <c r="A4" s="87" t="s">
        <v>48</v>
      </c>
      <c r="B4" s="88">
        <v>0.10503790980899796</v>
      </c>
    </row>
    <row r="5" spans="1:2" x14ac:dyDescent="0.25">
      <c r="A5" s="87" t="s">
        <v>30</v>
      </c>
      <c r="B5" s="88">
        <v>0.72971098724011307</v>
      </c>
    </row>
    <row r="6" spans="1:2" x14ac:dyDescent="0.25">
      <c r="A6" s="87" t="s">
        <v>39</v>
      </c>
      <c r="B6" s="88">
        <v>0.16525110295088896</v>
      </c>
    </row>
    <row r="7" spans="1:2" x14ac:dyDescent="0.25">
      <c r="A7" s="87" t="s">
        <v>2</v>
      </c>
      <c r="B7" s="8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1"/>
  <sheetViews>
    <sheetView tabSelected="1" workbookViewId="0">
      <selection activeCell="A4" sqref="A4:B10"/>
    </sheetView>
  </sheetViews>
  <sheetFormatPr defaultRowHeight="15" x14ac:dyDescent="0.25"/>
  <cols>
    <col min="1" max="1" width="13.140625" bestFit="1" customWidth="1"/>
    <col min="2" max="2" width="16" bestFit="1" customWidth="1"/>
    <col min="3" max="3" width="16.140625" bestFit="1" customWidth="1"/>
  </cols>
  <sheetData>
    <row r="2" spans="1:3" ht="15.75" x14ac:dyDescent="0.25">
      <c r="A2" s="98" t="s">
        <v>155</v>
      </c>
      <c r="B2" s="99"/>
      <c r="C2" s="100"/>
    </row>
    <row r="3" spans="1:3" x14ac:dyDescent="0.25">
      <c r="A3" s="15" t="s">
        <v>139</v>
      </c>
      <c r="B3" s="9" t="s">
        <v>1</v>
      </c>
      <c r="C3" s="9" t="s">
        <v>143</v>
      </c>
    </row>
    <row r="4" spans="1:3" x14ac:dyDescent="0.25">
      <c r="A4" s="18" t="s">
        <v>59</v>
      </c>
      <c r="B4" s="17">
        <v>254020</v>
      </c>
      <c r="C4" s="17">
        <v>9</v>
      </c>
    </row>
    <row r="5" spans="1:3" x14ac:dyDescent="0.25">
      <c r="A5" s="18" t="s">
        <v>25</v>
      </c>
      <c r="B5" s="17">
        <v>249050</v>
      </c>
      <c r="C5" s="17">
        <v>5</v>
      </c>
    </row>
    <row r="6" spans="1:3" x14ac:dyDescent="0.25">
      <c r="A6" s="18" t="s">
        <v>36</v>
      </c>
      <c r="B6" s="17">
        <v>224030</v>
      </c>
      <c r="C6" s="17">
        <v>5</v>
      </c>
    </row>
    <row r="7" spans="1:3" x14ac:dyDescent="0.25">
      <c r="A7" s="18" t="s">
        <v>44</v>
      </c>
      <c r="B7" s="17">
        <v>185080</v>
      </c>
      <c r="C7" s="17">
        <v>5</v>
      </c>
    </row>
    <row r="8" spans="1:3" x14ac:dyDescent="0.25">
      <c r="A8" s="18" t="s">
        <v>70</v>
      </c>
      <c r="B8" s="17">
        <v>123700</v>
      </c>
      <c r="C8" s="17">
        <v>4</v>
      </c>
    </row>
    <row r="9" spans="1:3" x14ac:dyDescent="0.25">
      <c r="A9" s="18" t="s">
        <v>80</v>
      </c>
      <c r="B9" s="17">
        <v>139630</v>
      </c>
      <c r="C9" s="17">
        <v>4</v>
      </c>
    </row>
    <row r="10" spans="1:3" x14ac:dyDescent="0.25">
      <c r="A10" s="18" t="s">
        <v>66</v>
      </c>
      <c r="B10" s="17">
        <v>147910</v>
      </c>
      <c r="C10" s="17">
        <v>4</v>
      </c>
    </row>
    <row r="11" spans="1:3" x14ac:dyDescent="0.25">
      <c r="A11" s="18" t="s">
        <v>2</v>
      </c>
      <c r="B11" s="17">
        <v>1323420</v>
      </c>
      <c r="C11" s="17">
        <v>36</v>
      </c>
    </row>
  </sheetData>
  <mergeCells count="1">
    <mergeCell ref="A2:C2"/>
  </mergeCell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4" sqref="B4"/>
    </sheetView>
  </sheetViews>
  <sheetFormatPr defaultRowHeight="15" x14ac:dyDescent="0.25"/>
  <cols>
    <col min="1" max="1" width="15.28515625" bestFit="1" customWidth="1"/>
    <col min="2" max="2" width="16" style="101" bestFit="1" customWidth="1"/>
  </cols>
  <sheetData>
    <row r="3" spans="1:2" x14ac:dyDescent="0.25">
      <c r="A3" s="86" t="s">
        <v>139</v>
      </c>
      <c r="B3" s="101" t="s">
        <v>1</v>
      </c>
    </row>
    <row r="4" spans="1:2" x14ac:dyDescent="0.25">
      <c r="A4" s="87" t="s">
        <v>29</v>
      </c>
      <c r="B4" s="101">
        <v>648700</v>
      </c>
    </row>
    <row r="5" spans="1:2" x14ac:dyDescent="0.25">
      <c r="A5" s="87" t="s">
        <v>84</v>
      </c>
      <c r="B5" s="101">
        <v>241425</v>
      </c>
    </row>
    <row r="6" spans="1:2" x14ac:dyDescent="0.25">
      <c r="A6" s="87" t="s">
        <v>55</v>
      </c>
      <c r="B6" s="101">
        <v>214745</v>
      </c>
    </row>
    <row r="7" spans="1:2" x14ac:dyDescent="0.25">
      <c r="A7" s="87" t="s">
        <v>38</v>
      </c>
      <c r="B7" s="101">
        <v>141610</v>
      </c>
    </row>
    <row r="8" spans="1:2" x14ac:dyDescent="0.25">
      <c r="A8" s="87" t="s">
        <v>71</v>
      </c>
      <c r="B8" s="101">
        <v>108600</v>
      </c>
    </row>
    <row r="9" spans="1:2" x14ac:dyDescent="0.25">
      <c r="A9" s="87" t="s">
        <v>61</v>
      </c>
      <c r="B9" s="101">
        <v>60840</v>
      </c>
    </row>
    <row r="10" spans="1:2" x14ac:dyDescent="0.25">
      <c r="A10" s="87" t="s">
        <v>76</v>
      </c>
      <c r="B10" s="101">
        <v>58000</v>
      </c>
    </row>
    <row r="11" spans="1:2" x14ac:dyDescent="0.25">
      <c r="A11" s="87" t="s">
        <v>47</v>
      </c>
      <c r="B11" s="101">
        <v>40200</v>
      </c>
    </row>
    <row r="12" spans="1:2" x14ac:dyDescent="0.25">
      <c r="A12" s="87" t="s">
        <v>2</v>
      </c>
      <c r="B12" s="101">
        <v>1514120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B4" sqref="B4"/>
    </sheetView>
  </sheetViews>
  <sheetFormatPr defaultRowHeight="15" x14ac:dyDescent="0.25"/>
  <cols>
    <col min="1" max="1" width="15.28515625" bestFit="1" customWidth="1"/>
    <col min="2" max="2" width="15.42578125" bestFit="1" customWidth="1"/>
  </cols>
  <sheetData>
    <row r="3" spans="1:2" x14ac:dyDescent="0.25">
      <c r="A3" s="86" t="s">
        <v>139</v>
      </c>
      <c r="B3" t="s">
        <v>140</v>
      </c>
    </row>
    <row r="4" spans="1:2" x14ac:dyDescent="0.25">
      <c r="A4" s="87" t="s">
        <v>47</v>
      </c>
      <c r="B4" s="7">
        <v>35</v>
      </c>
    </row>
    <row r="5" spans="1:2" x14ac:dyDescent="0.25">
      <c r="A5" s="87" t="s">
        <v>61</v>
      </c>
      <c r="B5" s="7">
        <v>34</v>
      </c>
    </row>
    <row r="6" spans="1:2" x14ac:dyDescent="0.25">
      <c r="A6" s="87" t="s">
        <v>76</v>
      </c>
      <c r="B6" s="7">
        <v>24</v>
      </c>
    </row>
    <row r="7" spans="1:2" x14ac:dyDescent="0.25">
      <c r="A7" s="87" t="s">
        <v>38</v>
      </c>
      <c r="B7" s="7">
        <v>18</v>
      </c>
    </row>
    <row r="8" spans="1:2" x14ac:dyDescent="0.25">
      <c r="A8" s="87" t="s">
        <v>55</v>
      </c>
      <c r="B8" s="7">
        <v>16</v>
      </c>
    </row>
    <row r="9" spans="1:2" x14ac:dyDescent="0.25">
      <c r="A9" s="87" t="s">
        <v>84</v>
      </c>
      <c r="B9" s="7">
        <v>14</v>
      </c>
    </row>
    <row r="10" spans="1:2" x14ac:dyDescent="0.25">
      <c r="A10" s="87" t="s">
        <v>29</v>
      </c>
      <c r="B10" s="7">
        <v>11</v>
      </c>
    </row>
    <row r="11" spans="1:2" x14ac:dyDescent="0.25">
      <c r="A11" s="87" t="s">
        <v>71</v>
      </c>
      <c r="B11" s="7">
        <v>10</v>
      </c>
    </row>
    <row r="12" spans="1:2" x14ac:dyDescent="0.25">
      <c r="A12" s="87" t="s">
        <v>2</v>
      </c>
      <c r="B12" s="7">
        <v>162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A4" sqref="A4"/>
    </sheetView>
  </sheetViews>
  <sheetFormatPr defaultRowHeight="15" x14ac:dyDescent="0.25"/>
  <cols>
    <col min="1" max="1" width="13.140625" bestFit="1" customWidth="1"/>
    <col min="2" max="2" width="15.42578125" bestFit="1" customWidth="1"/>
  </cols>
  <sheetData>
    <row r="3" spans="1:2" x14ac:dyDescent="0.25">
      <c r="A3" s="86" t="s">
        <v>139</v>
      </c>
      <c r="B3" t="s">
        <v>140</v>
      </c>
    </row>
    <row r="4" spans="1:2" x14ac:dyDescent="0.25">
      <c r="A4" s="104" t="s">
        <v>134</v>
      </c>
      <c r="B4" s="7">
        <v>21</v>
      </c>
    </row>
    <row r="5" spans="1:2" x14ac:dyDescent="0.25">
      <c r="A5" s="104" t="s">
        <v>137</v>
      </c>
      <c r="B5" s="7">
        <v>21</v>
      </c>
    </row>
    <row r="6" spans="1:2" x14ac:dyDescent="0.25">
      <c r="A6" s="104" t="s">
        <v>136</v>
      </c>
      <c r="B6" s="7">
        <v>20</v>
      </c>
    </row>
    <row r="7" spans="1:2" x14ac:dyDescent="0.25">
      <c r="A7" s="104" t="s">
        <v>131</v>
      </c>
      <c r="B7" s="7">
        <v>20</v>
      </c>
    </row>
    <row r="8" spans="1:2" x14ac:dyDescent="0.25">
      <c r="A8" s="104" t="s">
        <v>133</v>
      </c>
      <c r="B8" s="7">
        <v>18</v>
      </c>
    </row>
    <row r="9" spans="1:2" x14ac:dyDescent="0.25">
      <c r="A9" s="104" t="s">
        <v>135</v>
      </c>
      <c r="B9" s="7">
        <v>17</v>
      </c>
    </row>
    <row r="10" spans="1:2" x14ac:dyDescent="0.25">
      <c r="A10" s="104" t="s">
        <v>129</v>
      </c>
      <c r="B10" s="7">
        <v>16</v>
      </c>
    </row>
    <row r="11" spans="1:2" x14ac:dyDescent="0.25">
      <c r="A11" s="104" t="s">
        <v>132</v>
      </c>
      <c r="B11" s="7">
        <v>15</v>
      </c>
    </row>
    <row r="12" spans="1:2" x14ac:dyDescent="0.25">
      <c r="A12" s="104" t="s">
        <v>130</v>
      </c>
      <c r="B12" s="7">
        <v>14</v>
      </c>
    </row>
    <row r="13" spans="1:2" x14ac:dyDescent="0.25">
      <c r="A13" s="104" t="s">
        <v>2</v>
      </c>
      <c r="B13" s="7">
        <v>162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topLeftCell="A32" workbookViewId="0">
      <selection activeCell="B51" sqref="B51:C61"/>
    </sheetView>
  </sheetViews>
  <sheetFormatPr defaultRowHeight="15" x14ac:dyDescent="0.25"/>
  <cols>
    <col min="1" max="1" width="10.140625" customWidth="1"/>
    <col min="2" max="2" width="19" style="14" customWidth="1"/>
    <col min="3" max="3" width="13.5703125" customWidth="1"/>
    <col min="4" max="4" width="17.140625" customWidth="1"/>
    <col min="5" max="5" width="14.7109375" style="5" customWidth="1"/>
    <col min="6" max="6" width="14.42578125" style="5" customWidth="1"/>
    <col min="7" max="7" width="9.28515625" customWidth="1"/>
    <col min="8" max="8" width="14.85546875" style="5" customWidth="1"/>
    <col min="9" max="9" width="13.28515625" customWidth="1"/>
    <col min="10" max="10" width="10.85546875" customWidth="1"/>
    <col min="11" max="11" width="11.42578125" customWidth="1"/>
    <col min="12" max="12" width="10.85546875" style="1" customWidth="1"/>
    <col min="13" max="13" width="11" customWidth="1"/>
    <col min="14" max="14" width="14.7109375" customWidth="1"/>
    <col min="15" max="15" width="14.85546875" customWidth="1"/>
    <col min="16" max="16" width="13.140625" style="7" customWidth="1"/>
    <col min="17" max="17" width="14" customWidth="1"/>
    <col min="18" max="18" width="11.42578125" customWidth="1"/>
    <col min="19" max="19" width="16.42578125" customWidth="1"/>
    <col min="20" max="20" width="16" customWidth="1"/>
    <col min="22" max="22" width="25.42578125" customWidth="1"/>
    <col min="23" max="23" width="13.42578125" bestFit="1" customWidth="1"/>
  </cols>
  <sheetData>
    <row r="1" spans="1:23" ht="30" x14ac:dyDescent="0.25">
      <c r="A1" s="2" t="s">
        <v>3</v>
      </c>
      <c r="B1" s="13" t="s">
        <v>0</v>
      </c>
      <c r="C1" s="2" t="s">
        <v>4</v>
      </c>
      <c r="D1" s="2" t="s">
        <v>5</v>
      </c>
      <c r="E1" s="4" t="s">
        <v>6</v>
      </c>
      <c r="F1" s="4" t="s">
        <v>7</v>
      </c>
      <c r="G1" s="2" t="s">
        <v>8</v>
      </c>
      <c r="H1" s="4" t="s">
        <v>9</v>
      </c>
      <c r="I1" s="2" t="s">
        <v>10</v>
      </c>
      <c r="J1" s="2" t="s">
        <v>11</v>
      </c>
      <c r="K1" s="2" t="s">
        <v>12</v>
      </c>
      <c r="L1" s="3" t="s">
        <v>13</v>
      </c>
      <c r="M1" s="2" t="s">
        <v>14</v>
      </c>
      <c r="N1" s="2" t="s">
        <v>15</v>
      </c>
      <c r="O1" s="2" t="s">
        <v>16</v>
      </c>
      <c r="P1" s="6" t="s">
        <v>17</v>
      </c>
      <c r="Q1" s="8" t="s">
        <v>18</v>
      </c>
      <c r="R1" s="2" t="s">
        <v>19</v>
      </c>
      <c r="S1" s="8" t="s">
        <v>20</v>
      </c>
      <c r="T1" s="8" t="s">
        <v>21</v>
      </c>
      <c r="V1" s="90" t="s">
        <v>22</v>
      </c>
      <c r="W1" s="91"/>
    </row>
    <row r="2" spans="1:23" x14ac:dyDescent="0.25">
      <c r="A2" t="s">
        <v>23</v>
      </c>
      <c r="B2" s="14">
        <v>46027</v>
      </c>
      <c r="C2" t="s">
        <v>24</v>
      </c>
      <c r="D2" t="s">
        <v>25</v>
      </c>
      <c r="E2" s="5" t="s">
        <v>26</v>
      </c>
      <c r="F2" s="5" t="s">
        <v>27</v>
      </c>
      <c r="G2" t="s">
        <v>28</v>
      </c>
      <c r="H2" s="5" t="s">
        <v>29</v>
      </c>
      <c r="I2" t="s">
        <v>30</v>
      </c>
      <c r="J2">
        <v>2</v>
      </c>
      <c r="K2">
        <v>65000</v>
      </c>
      <c r="L2" s="1">
        <v>0.05</v>
      </c>
      <c r="M2" t="s">
        <v>31</v>
      </c>
      <c r="N2">
        <v>3</v>
      </c>
      <c r="O2" t="s">
        <v>32</v>
      </c>
      <c r="P2" s="7">
        <f>J:J*K:K</f>
        <v>130000</v>
      </c>
      <c r="Q2">
        <f>P:P*L:L</f>
        <v>6500</v>
      </c>
      <c r="R2">
        <f>P:P-Q:Q</f>
        <v>123500</v>
      </c>
      <c r="S2" t="str">
        <f>IF(N2&lt;=3,"Fast",IF(N2&lt;=6,"Normal","Delayed"))</f>
        <v>Fast</v>
      </c>
      <c r="T2" t="str">
        <f>IF(R2&gt;=50000,"High",IF(R2&gt;=20000,"Medium",IF(R2&lt;20000,"Low")))</f>
        <v>High</v>
      </c>
      <c r="V2" s="9" t="s">
        <v>33</v>
      </c>
      <c r="W2" s="10">
        <f>SUM(Table[Net Sales])</f>
        <v>1514120</v>
      </c>
    </row>
    <row r="3" spans="1:23" hidden="1" x14ac:dyDescent="0.25">
      <c r="A3" t="s">
        <v>34</v>
      </c>
      <c r="B3" s="14">
        <v>46029</v>
      </c>
      <c r="C3" t="s">
        <v>35</v>
      </c>
      <c r="D3" t="s">
        <v>36</v>
      </c>
      <c r="E3" s="5" t="s">
        <v>37</v>
      </c>
      <c r="F3" s="5" t="s">
        <v>27</v>
      </c>
      <c r="G3" t="s">
        <v>28</v>
      </c>
      <c r="H3" s="5" t="s">
        <v>38</v>
      </c>
      <c r="I3" t="s">
        <v>39</v>
      </c>
      <c r="J3">
        <v>3</v>
      </c>
      <c r="K3">
        <v>8500</v>
      </c>
      <c r="L3" s="1">
        <v>0.1</v>
      </c>
      <c r="M3" t="s">
        <v>40</v>
      </c>
      <c r="N3">
        <v>5</v>
      </c>
      <c r="O3" t="s">
        <v>32</v>
      </c>
      <c r="P3" s="7">
        <f t="shared" ref="P3:P46" si="0">J:J*K:K</f>
        <v>25500</v>
      </c>
      <c r="Q3">
        <f t="shared" ref="Q3:Q46" si="1">P:P*L:L</f>
        <v>2550</v>
      </c>
      <c r="R3">
        <f t="shared" ref="R3:R46" si="2">P:P-Q:Q</f>
        <v>22950</v>
      </c>
      <c r="S3" t="str">
        <f t="shared" ref="S3:S46" si="3">IF(N3&lt;=3,"Fast",IF(N3&lt;=6,"Normal","Delayed"))</f>
        <v>Normal</v>
      </c>
      <c r="T3" t="str">
        <f t="shared" ref="T3:T46" si="4">IF(R3&gt;=50000,"High",IF(R3&gt;=20000,"Medium",IF(R3&lt;20000,"Low")))</f>
        <v>Medium</v>
      </c>
      <c r="V3" s="9" t="s">
        <v>41</v>
      </c>
      <c r="W3" s="11">
        <f>AVERAGE(Table[Net Sales])</f>
        <v>33647.111111111109</v>
      </c>
    </row>
    <row r="4" spans="1:23" hidden="1" x14ac:dyDescent="0.25">
      <c r="A4" t="s">
        <v>42</v>
      </c>
      <c r="B4" s="14">
        <v>46034</v>
      </c>
      <c r="C4" t="s">
        <v>43</v>
      </c>
      <c r="D4" t="s">
        <v>44</v>
      </c>
      <c r="E4" s="5" t="s">
        <v>45</v>
      </c>
      <c r="F4" s="5" t="s">
        <v>46</v>
      </c>
      <c r="G4" t="s">
        <v>28</v>
      </c>
      <c r="H4" s="5" t="s">
        <v>47</v>
      </c>
      <c r="I4" t="s">
        <v>48</v>
      </c>
      <c r="J4">
        <v>5</v>
      </c>
      <c r="K4">
        <v>1200</v>
      </c>
      <c r="L4" s="1">
        <v>0</v>
      </c>
      <c r="M4" t="s">
        <v>31</v>
      </c>
      <c r="N4">
        <v>2</v>
      </c>
      <c r="O4" t="s">
        <v>32</v>
      </c>
      <c r="P4" s="7">
        <f t="shared" si="0"/>
        <v>6000</v>
      </c>
      <c r="Q4">
        <f t="shared" si="1"/>
        <v>0</v>
      </c>
      <c r="R4">
        <f t="shared" si="2"/>
        <v>6000</v>
      </c>
      <c r="S4" t="str">
        <f t="shared" si="3"/>
        <v>Fast</v>
      </c>
      <c r="T4" t="str">
        <f t="shared" si="4"/>
        <v>Low</v>
      </c>
      <c r="V4" s="9" t="s">
        <v>49</v>
      </c>
      <c r="W4" s="10">
        <f>MAX(Table[Net Sales])</f>
        <v>123500</v>
      </c>
    </row>
    <row r="5" spans="1:23" hidden="1" x14ac:dyDescent="0.25">
      <c r="A5" t="s">
        <v>50</v>
      </c>
      <c r="B5" s="14">
        <v>46040</v>
      </c>
      <c r="C5" t="s">
        <v>51</v>
      </c>
      <c r="D5" t="s">
        <v>52</v>
      </c>
      <c r="E5" s="5" t="s">
        <v>53</v>
      </c>
      <c r="F5" s="5" t="s">
        <v>54</v>
      </c>
      <c r="G5" t="s">
        <v>28</v>
      </c>
      <c r="H5" s="5" t="s">
        <v>55</v>
      </c>
      <c r="I5" t="s">
        <v>30</v>
      </c>
      <c r="J5">
        <v>2</v>
      </c>
      <c r="K5">
        <v>14500</v>
      </c>
      <c r="L5" s="1">
        <v>0.08</v>
      </c>
      <c r="M5" t="s">
        <v>40</v>
      </c>
      <c r="N5">
        <v>4</v>
      </c>
      <c r="O5" t="s">
        <v>32</v>
      </c>
      <c r="P5" s="7">
        <f t="shared" si="0"/>
        <v>29000</v>
      </c>
      <c r="Q5">
        <f t="shared" si="1"/>
        <v>2320</v>
      </c>
      <c r="R5">
        <f t="shared" si="2"/>
        <v>26680</v>
      </c>
      <c r="S5" t="str">
        <f t="shared" si="3"/>
        <v>Normal</v>
      </c>
      <c r="T5" t="str">
        <f t="shared" si="4"/>
        <v>Medium</v>
      </c>
      <c r="V5" s="9" t="s">
        <v>56</v>
      </c>
      <c r="W5" s="10">
        <f>MIN(Table[Net Sales])</f>
        <v>6000</v>
      </c>
    </row>
    <row r="6" spans="1:23" hidden="1" x14ac:dyDescent="0.25">
      <c r="A6" t="s">
        <v>57</v>
      </c>
      <c r="B6" s="14">
        <v>46047</v>
      </c>
      <c r="C6" t="s">
        <v>58</v>
      </c>
      <c r="D6" t="s">
        <v>59</v>
      </c>
      <c r="E6" s="5" t="s">
        <v>60</v>
      </c>
      <c r="F6" s="5" t="s">
        <v>27</v>
      </c>
      <c r="G6" t="s">
        <v>28</v>
      </c>
      <c r="H6" s="5" t="s">
        <v>61</v>
      </c>
      <c r="I6" t="s">
        <v>48</v>
      </c>
      <c r="J6">
        <v>4</v>
      </c>
      <c r="K6">
        <v>1800</v>
      </c>
      <c r="L6" s="1">
        <v>0.05</v>
      </c>
      <c r="M6" t="s">
        <v>62</v>
      </c>
      <c r="N6">
        <v>3</v>
      </c>
      <c r="O6" t="s">
        <v>32</v>
      </c>
      <c r="P6" s="7">
        <f t="shared" si="0"/>
        <v>7200</v>
      </c>
      <c r="Q6">
        <f t="shared" si="1"/>
        <v>360</v>
      </c>
      <c r="R6">
        <f t="shared" si="2"/>
        <v>6840</v>
      </c>
      <c r="S6" t="str">
        <f t="shared" si="3"/>
        <v>Fast</v>
      </c>
      <c r="T6" t="str">
        <f t="shared" si="4"/>
        <v>Low</v>
      </c>
      <c r="V6" s="9" t="s">
        <v>63</v>
      </c>
      <c r="W6" s="9">
        <f>SUM(Table[Quantity])</f>
        <v>162</v>
      </c>
    </row>
    <row r="7" spans="1:23" x14ac:dyDescent="0.25">
      <c r="A7" t="s">
        <v>64</v>
      </c>
      <c r="B7" s="14">
        <v>46056</v>
      </c>
      <c r="C7" t="s">
        <v>65</v>
      </c>
      <c r="D7" t="s">
        <v>66</v>
      </c>
      <c r="E7" s="5" t="s">
        <v>26</v>
      </c>
      <c r="F7" s="5" t="s">
        <v>27</v>
      </c>
      <c r="G7" t="s">
        <v>28</v>
      </c>
      <c r="H7" s="5" t="s">
        <v>29</v>
      </c>
      <c r="I7" t="s">
        <v>30</v>
      </c>
      <c r="J7">
        <v>1</v>
      </c>
      <c r="K7">
        <v>65000</v>
      </c>
      <c r="L7" s="1">
        <v>0.1</v>
      </c>
      <c r="M7" t="s">
        <v>31</v>
      </c>
      <c r="N7">
        <v>6</v>
      </c>
      <c r="O7" t="s">
        <v>32</v>
      </c>
      <c r="P7" s="7">
        <f t="shared" si="0"/>
        <v>65000</v>
      </c>
      <c r="Q7">
        <f t="shared" si="1"/>
        <v>6500</v>
      </c>
      <c r="R7">
        <f t="shared" si="2"/>
        <v>58500</v>
      </c>
      <c r="S7" t="str">
        <f t="shared" si="3"/>
        <v>Normal</v>
      </c>
      <c r="T7" t="str">
        <f t="shared" si="4"/>
        <v>High</v>
      </c>
      <c r="V7" s="9" t="s">
        <v>67</v>
      </c>
      <c r="W7" s="9">
        <f>COUNTA(Table[OrderID])</f>
        <v>45</v>
      </c>
    </row>
    <row r="8" spans="1:23" hidden="1" x14ac:dyDescent="0.25">
      <c r="A8" t="s">
        <v>68</v>
      </c>
      <c r="B8" s="14">
        <v>46062</v>
      </c>
      <c r="C8" t="s">
        <v>69</v>
      </c>
      <c r="D8" t="s">
        <v>70</v>
      </c>
      <c r="E8" s="5" t="s">
        <v>37</v>
      </c>
      <c r="F8" s="5" t="s">
        <v>27</v>
      </c>
      <c r="G8" t="s">
        <v>28</v>
      </c>
      <c r="H8" s="5" t="s">
        <v>71</v>
      </c>
      <c r="I8" t="s">
        <v>39</v>
      </c>
      <c r="J8">
        <v>2</v>
      </c>
      <c r="K8">
        <v>12000</v>
      </c>
      <c r="L8" s="1">
        <v>0.05</v>
      </c>
      <c r="M8" t="s">
        <v>40</v>
      </c>
      <c r="N8">
        <v>4</v>
      </c>
      <c r="O8" t="s">
        <v>32</v>
      </c>
      <c r="P8" s="7">
        <f t="shared" si="0"/>
        <v>24000</v>
      </c>
      <c r="Q8">
        <f t="shared" si="1"/>
        <v>1200</v>
      </c>
      <c r="R8">
        <f t="shared" si="2"/>
        <v>22800</v>
      </c>
      <c r="S8" t="str">
        <f t="shared" si="3"/>
        <v>Normal</v>
      </c>
      <c r="T8" t="str">
        <f t="shared" si="4"/>
        <v>Medium</v>
      </c>
      <c r="V8" s="9" t="s">
        <v>72</v>
      </c>
      <c r="W8" s="9">
        <f>COUNTA(Table[CustomerID])</f>
        <v>45</v>
      </c>
    </row>
    <row r="9" spans="1:23" hidden="1" x14ac:dyDescent="0.25">
      <c r="A9" t="s">
        <v>73</v>
      </c>
      <c r="B9" s="14">
        <v>46068</v>
      </c>
      <c r="C9" t="s">
        <v>74</v>
      </c>
      <c r="D9" t="s">
        <v>75</v>
      </c>
      <c r="E9" s="5" t="s">
        <v>45</v>
      </c>
      <c r="F9" s="5" t="s">
        <v>46</v>
      </c>
      <c r="G9" t="s">
        <v>28</v>
      </c>
      <c r="H9" s="5" t="s">
        <v>76</v>
      </c>
      <c r="I9" t="s">
        <v>48</v>
      </c>
      <c r="J9">
        <v>6</v>
      </c>
      <c r="K9">
        <v>2500</v>
      </c>
      <c r="L9" s="1">
        <v>0</v>
      </c>
      <c r="M9" t="s">
        <v>31</v>
      </c>
      <c r="N9">
        <v>2</v>
      </c>
      <c r="O9" t="s">
        <v>32</v>
      </c>
      <c r="P9" s="7">
        <f t="shared" si="0"/>
        <v>15000</v>
      </c>
      <c r="Q9">
        <f t="shared" si="1"/>
        <v>0</v>
      </c>
      <c r="R9">
        <f t="shared" si="2"/>
        <v>15000</v>
      </c>
      <c r="S9" t="str">
        <f t="shared" si="3"/>
        <v>Fast</v>
      </c>
      <c r="T9" t="str">
        <f t="shared" si="4"/>
        <v>Low</v>
      </c>
      <c r="V9" s="9" t="s">
        <v>77</v>
      </c>
      <c r="W9" s="11">
        <f>SUMIF(Table[Category],"Electronics",Table[Net Sales])</f>
        <v>1104870</v>
      </c>
    </row>
    <row r="10" spans="1:23" hidden="1" x14ac:dyDescent="0.25">
      <c r="A10" t="s">
        <v>78</v>
      </c>
      <c r="B10" s="14">
        <v>46074</v>
      </c>
      <c r="C10" t="s">
        <v>79</v>
      </c>
      <c r="D10" t="s">
        <v>80</v>
      </c>
      <c r="E10" s="5" t="s">
        <v>53</v>
      </c>
      <c r="F10" s="5" t="s">
        <v>54</v>
      </c>
      <c r="G10" t="s">
        <v>28</v>
      </c>
      <c r="H10" s="5" t="s">
        <v>55</v>
      </c>
      <c r="I10" t="s">
        <v>30</v>
      </c>
      <c r="J10">
        <v>3</v>
      </c>
      <c r="K10">
        <v>14500</v>
      </c>
      <c r="L10" s="1">
        <v>0.12</v>
      </c>
      <c r="M10" t="s">
        <v>40</v>
      </c>
      <c r="N10">
        <v>7</v>
      </c>
      <c r="O10" t="s">
        <v>32</v>
      </c>
      <c r="P10" s="7">
        <f t="shared" si="0"/>
        <v>43500</v>
      </c>
      <c r="Q10">
        <f t="shared" si="1"/>
        <v>5220</v>
      </c>
      <c r="R10">
        <f t="shared" si="2"/>
        <v>38280</v>
      </c>
      <c r="S10" t="str">
        <f t="shared" si="3"/>
        <v>Delayed</v>
      </c>
      <c r="T10" t="str">
        <f t="shared" si="4"/>
        <v>Medium</v>
      </c>
      <c r="V10" s="9" t="s">
        <v>81</v>
      </c>
      <c r="W10" s="11">
        <f>SUMIF(Table[Category],"Furniture",Table[Net Sales])</f>
        <v>250210</v>
      </c>
    </row>
    <row r="11" spans="1:23" hidden="1" x14ac:dyDescent="0.25">
      <c r="A11" t="s">
        <v>82</v>
      </c>
      <c r="B11" s="14">
        <v>46080</v>
      </c>
      <c r="C11" t="s">
        <v>83</v>
      </c>
      <c r="D11" t="s">
        <v>59</v>
      </c>
      <c r="E11" s="5" t="s">
        <v>60</v>
      </c>
      <c r="F11" s="5" t="s">
        <v>27</v>
      </c>
      <c r="G11" t="s">
        <v>28</v>
      </c>
      <c r="H11" s="5" t="s">
        <v>84</v>
      </c>
      <c r="I11" t="s">
        <v>30</v>
      </c>
      <c r="J11">
        <v>2</v>
      </c>
      <c r="K11">
        <v>18500</v>
      </c>
      <c r="L11" s="1">
        <v>0.05</v>
      </c>
      <c r="M11" t="s">
        <v>31</v>
      </c>
      <c r="N11">
        <v>4</v>
      </c>
      <c r="O11" t="s">
        <v>32</v>
      </c>
      <c r="P11" s="7">
        <f t="shared" si="0"/>
        <v>37000</v>
      </c>
      <c r="Q11">
        <f t="shared" si="1"/>
        <v>1850</v>
      </c>
      <c r="R11">
        <f t="shared" si="2"/>
        <v>35150</v>
      </c>
      <c r="S11" t="str">
        <f t="shared" si="3"/>
        <v>Normal</v>
      </c>
      <c r="T11" t="str">
        <f t="shared" si="4"/>
        <v>Medium</v>
      </c>
      <c r="V11" s="9" t="s">
        <v>85</v>
      </c>
      <c r="W11" s="11">
        <f>SUMIF(Table[Category],"Accessories",Table[Net Sales])</f>
        <v>159040</v>
      </c>
    </row>
    <row r="12" spans="1:23" hidden="1" x14ac:dyDescent="0.25">
      <c r="A12" t="s">
        <v>86</v>
      </c>
      <c r="B12" s="14">
        <v>46085</v>
      </c>
      <c r="C12" t="s">
        <v>24</v>
      </c>
      <c r="D12" t="s">
        <v>25</v>
      </c>
      <c r="E12" s="5" t="s">
        <v>26</v>
      </c>
      <c r="F12" s="5" t="s">
        <v>27</v>
      </c>
      <c r="G12" t="s">
        <v>28</v>
      </c>
      <c r="H12" s="5" t="s">
        <v>38</v>
      </c>
      <c r="I12" t="s">
        <v>39</v>
      </c>
      <c r="J12">
        <v>2</v>
      </c>
      <c r="K12">
        <v>8500</v>
      </c>
      <c r="L12" s="1">
        <v>0.05</v>
      </c>
      <c r="M12" t="s">
        <v>40</v>
      </c>
      <c r="N12">
        <v>5</v>
      </c>
      <c r="O12" t="s">
        <v>32</v>
      </c>
      <c r="P12" s="7">
        <f t="shared" si="0"/>
        <v>17000</v>
      </c>
      <c r="Q12">
        <f t="shared" si="1"/>
        <v>850</v>
      </c>
      <c r="R12">
        <f t="shared" si="2"/>
        <v>16150</v>
      </c>
      <c r="S12" t="str">
        <f t="shared" si="3"/>
        <v>Normal</v>
      </c>
      <c r="T12" t="str">
        <f t="shared" si="4"/>
        <v>Low</v>
      </c>
      <c r="V12" s="9" t="s">
        <v>87</v>
      </c>
      <c r="W12" s="11">
        <f>SUMIF(Table[State],"Tamil Nadu",Table[Net Sales])</f>
        <v>998710</v>
      </c>
    </row>
    <row r="13" spans="1:23" x14ac:dyDescent="0.25">
      <c r="A13" t="s">
        <v>88</v>
      </c>
      <c r="B13" s="14">
        <v>46089</v>
      </c>
      <c r="C13" t="s">
        <v>35</v>
      </c>
      <c r="D13" t="s">
        <v>36</v>
      </c>
      <c r="E13" s="5" t="s">
        <v>37</v>
      </c>
      <c r="F13" s="5" t="s">
        <v>27</v>
      </c>
      <c r="G13" t="s">
        <v>28</v>
      </c>
      <c r="H13" s="5" t="s">
        <v>29</v>
      </c>
      <c r="I13" t="s">
        <v>30</v>
      </c>
      <c r="J13">
        <v>2</v>
      </c>
      <c r="K13">
        <v>65000</v>
      </c>
      <c r="L13" s="1">
        <v>0.15</v>
      </c>
      <c r="M13" t="s">
        <v>31</v>
      </c>
      <c r="N13">
        <v>8</v>
      </c>
      <c r="O13" t="s">
        <v>32</v>
      </c>
      <c r="P13" s="7">
        <f t="shared" si="0"/>
        <v>130000</v>
      </c>
      <c r="Q13">
        <f t="shared" si="1"/>
        <v>19500</v>
      </c>
      <c r="R13">
        <f t="shared" si="2"/>
        <v>110500</v>
      </c>
      <c r="S13" t="str">
        <f t="shared" si="3"/>
        <v>Delayed</v>
      </c>
      <c r="T13" t="str">
        <f t="shared" si="4"/>
        <v>High</v>
      </c>
      <c r="V13" s="9" t="s">
        <v>89</v>
      </c>
      <c r="W13" s="11">
        <f>SUMIF(Table[State],"Kerala",Table[Net Sales])</f>
        <v>278400</v>
      </c>
    </row>
    <row r="14" spans="1:23" hidden="1" x14ac:dyDescent="0.25">
      <c r="A14" t="s">
        <v>90</v>
      </c>
      <c r="B14" s="14">
        <v>46095</v>
      </c>
      <c r="C14" t="s">
        <v>43</v>
      </c>
      <c r="D14" t="s">
        <v>44</v>
      </c>
      <c r="E14" s="5" t="s">
        <v>45</v>
      </c>
      <c r="F14" s="5" t="s">
        <v>46</v>
      </c>
      <c r="G14" t="s">
        <v>28</v>
      </c>
      <c r="H14" s="5" t="s">
        <v>61</v>
      </c>
      <c r="I14" t="s">
        <v>48</v>
      </c>
      <c r="J14">
        <v>7</v>
      </c>
      <c r="K14">
        <v>1800</v>
      </c>
      <c r="L14" s="1">
        <v>0</v>
      </c>
      <c r="M14" t="s">
        <v>62</v>
      </c>
      <c r="N14">
        <v>3</v>
      </c>
      <c r="O14" t="s">
        <v>32</v>
      </c>
      <c r="P14" s="7">
        <f t="shared" si="0"/>
        <v>12600</v>
      </c>
      <c r="Q14">
        <f t="shared" si="1"/>
        <v>0</v>
      </c>
      <c r="R14">
        <f t="shared" si="2"/>
        <v>12600</v>
      </c>
      <c r="S14" t="str">
        <f t="shared" si="3"/>
        <v>Fast</v>
      </c>
      <c r="T14" t="str">
        <f t="shared" si="4"/>
        <v>Low</v>
      </c>
      <c r="V14" s="9" t="s">
        <v>91</v>
      </c>
      <c r="W14" s="11">
        <f>SUMIF(Table[Payment],"UPI",Table[Net Sales])</f>
        <v>868020</v>
      </c>
    </row>
    <row r="15" spans="1:23" hidden="1" x14ac:dyDescent="0.25">
      <c r="A15" t="s">
        <v>92</v>
      </c>
      <c r="B15" s="14">
        <v>46100</v>
      </c>
      <c r="C15" t="s">
        <v>51</v>
      </c>
      <c r="D15" t="s">
        <v>52</v>
      </c>
      <c r="E15" s="5" t="s">
        <v>53</v>
      </c>
      <c r="F15" s="5" t="s">
        <v>54</v>
      </c>
      <c r="G15" t="s">
        <v>28</v>
      </c>
      <c r="H15" s="5" t="s">
        <v>71</v>
      </c>
      <c r="I15" t="s">
        <v>39</v>
      </c>
      <c r="J15">
        <v>1</v>
      </c>
      <c r="K15">
        <v>12000</v>
      </c>
      <c r="L15" s="1">
        <v>0.1</v>
      </c>
      <c r="M15" t="s">
        <v>40</v>
      </c>
      <c r="N15">
        <v>6</v>
      </c>
      <c r="O15" t="s">
        <v>32</v>
      </c>
      <c r="P15" s="7">
        <f t="shared" si="0"/>
        <v>12000</v>
      </c>
      <c r="Q15">
        <f t="shared" si="1"/>
        <v>1200</v>
      </c>
      <c r="R15">
        <f t="shared" si="2"/>
        <v>10800</v>
      </c>
      <c r="S15" t="str">
        <f t="shared" si="3"/>
        <v>Normal</v>
      </c>
      <c r="T15" t="str">
        <f t="shared" si="4"/>
        <v>Low</v>
      </c>
      <c r="V15" s="9" t="s">
        <v>93</v>
      </c>
      <c r="W15" s="9">
        <f>COUNTIF(Table[Delivery Status],"Delayed")</f>
        <v>8</v>
      </c>
    </row>
    <row r="16" spans="1:23" hidden="1" x14ac:dyDescent="0.25">
      <c r="A16" t="s">
        <v>94</v>
      </c>
      <c r="B16" s="14">
        <v>46107</v>
      </c>
      <c r="C16" t="s">
        <v>58</v>
      </c>
      <c r="D16" t="s">
        <v>59</v>
      </c>
      <c r="E16" s="5" t="s">
        <v>60</v>
      </c>
      <c r="F16" s="5" t="s">
        <v>27</v>
      </c>
      <c r="G16" t="s">
        <v>28</v>
      </c>
      <c r="H16" s="5" t="s">
        <v>47</v>
      </c>
      <c r="I16" t="s">
        <v>48</v>
      </c>
      <c r="J16">
        <v>8</v>
      </c>
      <c r="K16">
        <v>1200</v>
      </c>
      <c r="L16" s="1">
        <v>0.05</v>
      </c>
      <c r="M16" t="s">
        <v>31</v>
      </c>
      <c r="N16">
        <v>2</v>
      </c>
      <c r="O16" t="s">
        <v>32</v>
      </c>
      <c r="P16" s="7">
        <f t="shared" si="0"/>
        <v>9600</v>
      </c>
      <c r="Q16">
        <f t="shared" si="1"/>
        <v>480</v>
      </c>
      <c r="R16">
        <f t="shared" si="2"/>
        <v>9120</v>
      </c>
      <c r="S16" t="str">
        <f t="shared" si="3"/>
        <v>Fast</v>
      </c>
      <c r="T16" t="str">
        <f t="shared" si="4"/>
        <v>Low</v>
      </c>
      <c r="V16" s="9" t="s">
        <v>95</v>
      </c>
      <c r="W16" s="12">
        <f>AVERAGE(Table[DeliveryDays])</f>
        <v>4.4666666666666668</v>
      </c>
    </row>
    <row r="17" spans="1:20" x14ac:dyDescent="0.25">
      <c r="A17" t="s">
        <v>96</v>
      </c>
      <c r="B17" s="14">
        <v>46114</v>
      </c>
      <c r="C17" t="s">
        <v>65</v>
      </c>
      <c r="D17" t="s">
        <v>66</v>
      </c>
      <c r="E17" s="5" t="s">
        <v>26</v>
      </c>
      <c r="F17" s="5" t="s">
        <v>27</v>
      </c>
      <c r="G17" t="s">
        <v>28</v>
      </c>
      <c r="H17" s="5" t="s">
        <v>84</v>
      </c>
      <c r="I17" t="s">
        <v>30</v>
      </c>
      <c r="J17">
        <v>3</v>
      </c>
      <c r="K17">
        <v>18500</v>
      </c>
      <c r="L17" s="1">
        <v>0.08</v>
      </c>
      <c r="M17" t="s">
        <v>40</v>
      </c>
      <c r="N17">
        <v>5</v>
      </c>
      <c r="O17" t="s">
        <v>32</v>
      </c>
      <c r="P17" s="7">
        <f t="shared" si="0"/>
        <v>55500</v>
      </c>
      <c r="Q17">
        <f t="shared" si="1"/>
        <v>4440</v>
      </c>
      <c r="R17">
        <f t="shared" si="2"/>
        <v>51060</v>
      </c>
      <c r="S17" t="str">
        <f t="shared" si="3"/>
        <v>Normal</v>
      </c>
      <c r="T17" t="str">
        <f t="shared" si="4"/>
        <v>High</v>
      </c>
    </row>
    <row r="18" spans="1:20" hidden="1" x14ac:dyDescent="0.25">
      <c r="A18" t="s">
        <v>97</v>
      </c>
      <c r="B18" s="14">
        <v>46118</v>
      </c>
      <c r="C18" t="s">
        <v>69</v>
      </c>
      <c r="D18" t="s">
        <v>70</v>
      </c>
      <c r="E18" s="5" t="s">
        <v>37</v>
      </c>
      <c r="F18" s="5" t="s">
        <v>27</v>
      </c>
      <c r="G18" t="s">
        <v>28</v>
      </c>
      <c r="H18" s="5" t="s">
        <v>55</v>
      </c>
      <c r="I18" t="s">
        <v>30</v>
      </c>
      <c r="J18">
        <v>2</v>
      </c>
      <c r="K18">
        <v>14500</v>
      </c>
      <c r="L18" s="1">
        <v>0.05</v>
      </c>
      <c r="M18" t="s">
        <v>31</v>
      </c>
      <c r="N18">
        <v>4</v>
      </c>
      <c r="O18" t="s">
        <v>32</v>
      </c>
      <c r="P18" s="7">
        <f t="shared" si="0"/>
        <v>29000</v>
      </c>
      <c r="Q18">
        <f t="shared" si="1"/>
        <v>1450</v>
      </c>
      <c r="R18">
        <f t="shared" si="2"/>
        <v>27550</v>
      </c>
      <c r="S18" t="str">
        <f t="shared" si="3"/>
        <v>Normal</v>
      </c>
      <c r="T18" t="str">
        <f t="shared" si="4"/>
        <v>Medium</v>
      </c>
    </row>
    <row r="19" spans="1:20" hidden="1" x14ac:dyDescent="0.25">
      <c r="A19" t="s">
        <v>98</v>
      </c>
      <c r="B19" s="14">
        <v>46125</v>
      </c>
      <c r="C19" t="s">
        <v>74</v>
      </c>
      <c r="D19" t="s">
        <v>75</v>
      </c>
      <c r="E19" s="5" t="s">
        <v>45</v>
      </c>
      <c r="F19" s="5" t="s">
        <v>46</v>
      </c>
      <c r="G19" t="s">
        <v>28</v>
      </c>
      <c r="H19" s="5" t="s">
        <v>38</v>
      </c>
      <c r="I19" t="s">
        <v>39</v>
      </c>
      <c r="J19">
        <v>4</v>
      </c>
      <c r="K19">
        <v>8500</v>
      </c>
      <c r="L19" s="1">
        <v>0.1</v>
      </c>
      <c r="M19" t="s">
        <v>40</v>
      </c>
      <c r="N19">
        <v>7</v>
      </c>
      <c r="O19" t="s">
        <v>32</v>
      </c>
      <c r="P19" s="7">
        <f t="shared" si="0"/>
        <v>34000</v>
      </c>
      <c r="Q19">
        <f t="shared" si="1"/>
        <v>3400</v>
      </c>
      <c r="R19">
        <f t="shared" si="2"/>
        <v>30600</v>
      </c>
      <c r="S19" t="str">
        <f t="shared" si="3"/>
        <v>Delayed</v>
      </c>
      <c r="T19" t="str">
        <f t="shared" si="4"/>
        <v>Medium</v>
      </c>
    </row>
    <row r="20" spans="1:20" x14ac:dyDescent="0.25">
      <c r="A20" t="s">
        <v>99</v>
      </c>
      <c r="B20" s="14">
        <v>46130</v>
      </c>
      <c r="C20" t="s">
        <v>79</v>
      </c>
      <c r="D20" t="s">
        <v>80</v>
      </c>
      <c r="E20" s="5" t="s">
        <v>53</v>
      </c>
      <c r="F20" s="5" t="s">
        <v>54</v>
      </c>
      <c r="G20" t="s">
        <v>28</v>
      </c>
      <c r="H20" s="5" t="s">
        <v>29</v>
      </c>
      <c r="I20" t="s">
        <v>30</v>
      </c>
      <c r="J20">
        <v>1</v>
      </c>
      <c r="K20">
        <v>65000</v>
      </c>
      <c r="L20" s="1">
        <v>0.05</v>
      </c>
      <c r="M20" t="s">
        <v>31</v>
      </c>
      <c r="N20">
        <v>3</v>
      </c>
      <c r="O20" t="s">
        <v>32</v>
      </c>
      <c r="P20" s="7">
        <f t="shared" si="0"/>
        <v>65000</v>
      </c>
      <c r="Q20">
        <f t="shared" si="1"/>
        <v>3250</v>
      </c>
      <c r="R20">
        <f t="shared" si="2"/>
        <v>61750</v>
      </c>
      <c r="S20" t="str">
        <f t="shared" si="3"/>
        <v>Fast</v>
      </c>
      <c r="T20" t="str">
        <f t="shared" si="4"/>
        <v>High</v>
      </c>
    </row>
    <row r="21" spans="1:20" hidden="1" x14ac:dyDescent="0.25">
      <c r="A21" t="s">
        <v>100</v>
      </c>
      <c r="B21" s="14">
        <v>46136</v>
      </c>
      <c r="C21" t="s">
        <v>83</v>
      </c>
      <c r="D21" t="s">
        <v>59</v>
      </c>
      <c r="E21" s="5" t="s">
        <v>60</v>
      </c>
      <c r="F21" s="5" t="s">
        <v>27</v>
      </c>
      <c r="G21" t="s">
        <v>28</v>
      </c>
      <c r="H21" s="5" t="s">
        <v>76</v>
      </c>
      <c r="I21" t="s">
        <v>48</v>
      </c>
      <c r="J21">
        <v>5</v>
      </c>
      <c r="K21">
        <v>2500</v>
      </c>
      <c r="L21" s="1">
        <v>0</v>
      </c>
      <c r="M21" t="s">
        <v>62</v>
      </c>
      <c r="N21">
        <v>2</v>
      </c>
      <c r="O21" t="s">
        <v>32</v>
      </c>
      <c r="P21" s="7">
        <f t="shared" si="0"/>
        <v>12500</v>
      </c>
      <c r="Q21">
        <f t="shared" si="1"/>
        <v>0</v>
      </c>
      <c r="R21">
        <f t="shared" si="2"/>
        <v>12500</v>
      </c>
      <c r="S21" t="str">
        <f t="shared" si="3"/>
        <v>Fast</v>
      </c>
      <c r="T21" t="str">
        <f t="shared" si="4"/>
        <v>Low</v>
      </c>
    </row>
    <row r="22" spans="1:20" hidden="1" x14ac:dyDescent="0.25">
      <c r="A22" t="s">
        <v>101</v>
      </c>
      <c r="B22" s="14">
        <v>46145</v>
      </c>
      <c r="C22" t="s">
        <v>24</v>
      </c>
      <c r="D22" t="s">
        <v>25</v>
      </c>
      <c r="E22" s="5" t="s">
        <v>26</v>
      </c>
      <c r="F22" s="5" t="s">
        <v>27</v>
      </c>
      <c r="G22" t="s">
        <v>28</v>
      </c>
      <c r="H22" s="5" t="s">
        <v>84</v>
      </c>
      <c r="I22" t="s">
        <v>30</v>
      </c>
      <c r="J22">
        <v>2</v>
      </c>
      <c r="K22">
        <v>18500</v>
      </c>
      <c r="L22" s="1">
        <v>0.05</v>
      </c>
      <c r="M22" t="s">
        <v>31</v>
      </c>
      <c r="N22">
        <v>5</v>
      </c>
      <c r="O22" t="s">
        <v>32</v>
      </c>
      <c r="P22" s="7">
        <f t="shared" si="0"/>
        <v>37000</v>
      </c>
      <c r="Q22">
        <f t="shared" si="1"/>
        <v>1850</v>
      </c>
      <c r="R22">
        <f t="shared" si="2"/>
        <v>35150</v>
      </c>
      <c r="S22" t="str">
        <f t="shared" si="3"/>
        <v>Normal</v>
      </c>
      <c r="T22" t="str">
        <f t="shared" si="4"/>
        <v>Medium</v>
      </c>
    </row>
    <row r="23" spans="1:20" hidden="1" x14ac:dyDescent="0.25">
      <c r="A23" t="s">
        <v>102</v>
      </c>
      <c r="B23" s="14">
        <v>46150</v>
      </c>
      <c r="C23" t="s">
        <v>35</v>
      </c>
      <c r="D23" t="s">
        <v>36</v>
      </c>
      <c r="E23" s="5" t="s">
        <v>37</v>
      </c>
      <c r="F23" s="5" t="s">
        <v>27</v>
      </c>
      <c r="G23" t="s">
        <v>28</v>
      </c>
      <c r="H23" s="5" t="s">
        <v>71</v>
      </c>
      <c r="I23" t="s">
        <v>39</v>
      </c>
      <c r="J23">
        <v>3</v>
      </c>
      <c r="K23">
        <v>12000</v>
      </c>
      <c r="L23" s="1">
        <v>0.15</v>
      </c>
      <c r="M23" t="s">
        <v>40</v>
      </c>
      <c r="N23">
        <v>9</v>
      </c>
      <c r="O23" t="s">
        <v>32</v>
      </c>
      <c r="P23" s="7">
        <f t="shared" si="0"/>
        <v>36000</v>
      </c>
      <c r="Q23">
        <f t="shared" si="1"/>
        <v>5400</v>
      </c>
      <c r="R23">
        <f t="shared" si="2"/>
        <v>30600</v>
      </c>
      <c r="S23" t="str">
        <f t="shared" si="3"/>
        <v>Delayed</v>
      </c>
      <c r="T23" t="str">
        <f t="shared" si="4"/>
        <v>Medium</v>
      </c>
    </row>
    <row r="24" spans="1:20" hidden="1" x14ac:dyDescent="0.25">
      <c r="A24" t="s">
        <v>103</v>
      </c>
      <c r="B24" s="14">
        <v>46157</v>
      </c>
      <c r="C24" t="s">
        <v>43</v>
      </c>
      <c r="D24" t="s">
        <v>44</v>
      </c>
      <c r="E24" s="5" t="s">
        <v>45</v>
      </c>
      <c r="F24" s="5" t="s">
        <v>46</v>
      </c>
      <c r="G24" t="s">
        <v>28</v>
      </c>
      <c r="H24" s="5" t="s">
        <v>55</v>
      </c>
      <c r="I24" t="s">
        <v>30</v>
      </c>
      <c r="J24">
        <v>2</v>
      </c>
      <c r="K24">
        <v>14500</v>
      </c>
      <c r="L24" s="1">
        <v>0.08</v>
      </c>
      <c r="M24" t="s">
        <v>31</v>
      </c>
      <c r="N24">
        <v>4</v>
      </c>
      <c r="O24" t="s">
        <v>32</v>
      </c>
      <c r="P24" s="7">
        <f t="shared" si="0"/>
        <v>29000</v>
      </c>
      <c r="Q24">
        <f t="shared" si="1"/>
        <v>2320</v>
      </c>
      <c r="R24">
        <f t="shared" si="2"/>
        <v>26680</v>
      </c>
      <c r="S24" t="str">
        <f t="shared" si="3"/>
        <v>Normal</v>
      </c>
      <c r="T24" t="str">
        <f t="shared" si="4"/>
        <v>Medium</v>
      </c>
    </row>
    <row r="25" spans="1:20" hidden="1" x14ac:dyDescent="0.25">
      <c r="A25" t="s">
        <v>104</v>
      </c>
      <c r="B25" s="14">
        <v>46162</v>
      </c>
      <c r="C25" t="s">
        <v>51</v>
      </c>
      <c r="D25" t="s">
        <v>52</v>
      </c>
      <c r="E25" s="5" t="s">
        <v>53</v>
      </c>
      <c r="F25" s="5" t="s">
        <v>54</v>
      </c>
      <c r="G25" t="s">
        <v>28</v>
      </c>
      <c r="H25" s="5" t="s">
        <v>47</v>
      </c>
      <c r="I25" t="s">
        <v>48</v>
      </c>
      <c r="J25">
        <v>10</v>
      </c>
      <c r="K25">
        <v>1200</v>
      </c>
      <c r="L25" s="1">
        <v>0.05</v>
      </c>
      <c r="M25" t="s">
        <v>62</v>
      </c>
      <c r="N25">
        <v>2</v>
      </c>
      <c r="O25" t="s">
        <v>32</v>
      </c>
      <c r="P25" s="7">
        <f t="shared" si="0"/>
        <v>12000</v>
      </c>
      <c r="Q25">
        <f t="shared" si="1"/>
        <v>600</v>
      </c>
      <c r="R25">
        <f t="shared" si="2"/>
        <v>11400</v>
      </c>
      <c r="S25" t="str">
        <f t="shared" si="3"/>
        <v>Fast</v>
      </c>
      <c r="T25" t="str">
        <f t="shared" si="4"/>
        <v>Low</v>
      </c>
    </row>
    <row r="26" spans="1:20" x14ac:dyDescent="0.25">
      <c r="A26" t="s">
        <v>105</v>
      </c>
      <c r="B26" s="14">
        <v>46170</v>
      </c>
      <c r="C26" t="s">
        <v>58</v>
      </c>
      <c r="D26" t="s">
        <v>59</v>
      </c>
      <c r="E26" s="5" t="s">
        <v>60</v>
      </c>
      <c r="F26" s="5" t="s">
        <v>27</v>
      </c>
      <c r="G26" t="s">
        <v>28</v>
      </c>
      <c r="H26" s="5" t="s">
        <v>29</v>
      </c>
      <c r="I26" t="s">
        <v>30</v>
      </c>
      <c r="J26">
        <v>1</v>
      </c>
      <c r="K26">
        <v>65000</v>
      </c>
      <c r="L26" s="1">
        <v>0.1</v>
      </c>
      <c r="M26" t="s">
        <v>40</v>
      </c>
      <c r="N26">
        <v>6</v>
      </c>
      <c r="O26" t="s">
        <v>32</v>
      </c>
      <c r="P26" s="7">
        <f t="shared" si="0"/>
        <v>65000</v>
      </c>
      <c r="Q26">
        <f t="shared" si="1"/>
        <v>6500</v>
      </c>
      <c r="R26">
        <f t="shared" si="2"/>
        <v>58500</v>
      </c>
      <c r="S26" t="str">
        <f t="shared" si="3"/>
        <v>Normal</v>
      </c>
      <c r="T26" t="str">
        <f t="shared" si="4"/>
        <v>High</v>
      </c>
    </row>
    <row r="27" spans="1:20" hidden="1" x14ac:dyDescent="0.25">
      <c r="A27" t="s">
        <v>106</v>
      </c>
      <c r="B27" s="14">
        <v>46177</v>
      </c>
      <c r="C27" t="s">
        <v>65</v>
      </c>
      <c r="D27" t="s">
        <v>66</v>
      </c>
      <c r="E27" s="5" t="s">
        <v>26</v>
      </c>
      <c r="F27" s="5" t="s">
        <v>27</v>
      </c>
      <c r="G27" t="s">
        <v>28</v>
      </c>
      <c r="H27" s="5" t="s">
        <v>61</v>
      </c>
      <c r="I27" t="s">
        <v>48</v>
      </c>
      <c r="J27">
        <v>6</v>
      </c>
      <c r="K27">
        <v>1800</v>
      </c>
      <c r="L27" s="1">
        <v>0</v>
      </c>
      <c r="M27" t="s">
        <v>31</v>
      </c>
      <c r="N27">
        <v>3</v>
      </c>
      <c r="O27" t="s">
        <v>32</v>
      </c>
      <c r="P27" s="7">
        <f t="shared" si="0"/>
        <v>10800</v>
      </c>
      <c r="Q27">
        <f t="shared" si="1"/>
        <v>0</v>
      </c>
      <c r="R27">
        <f t="shared" si="2"/>
        <v>10800</v>
      </c>
      <c r="S27" t="str">
        <f t="shared" si="3"/>
        <v>Fast</v>
      </c>
      <c r="T27" t="str">
        <f t="shared" si="4"/>
        <v>Low</v>
      </c>
    </row>
    <row r="28" spans="1:20" hidden="1" x14ac:dyDescent="0.25">
      <c r="A28" t="s">
        <v>107</v>
      </c>
      <c r="B28" s="14">
        <v>46182</v>
      </c>
      <c r="C28" t="s">
        <v>69</v>
      </c>
      <c r="D28" t="s">
        <v>70</v>
      </c>
      <c r="E28" s="5" t="s">
        <v>37</v>
      </c>
      <c r="F28" s="5" t="s">
        <v>27</v>
      </c>
      <c r="G28" t="s">
        <v>28</v>
      </c>
      <c r="H28" s="5" t="s">
        <v>38</v>
      </c>
      <c r="I28" t="s">
        <v>39</v>
      </c>
      <c r="J28">
        <v>2</v>
      </c>
      <c r="K28">
        <v>8500</v>
      </c>
      <c r="L28" s="1">
        <v>0.05</v>
      </c>
      <c r="M28" t="s">
        <v>40</v>
      </c>
      <c r="N28">
        <v>5</v>
      </c>
      <c r="O28" t="s">
        <v>32</v>
      </c>
      <c r="P28" s="7">
        <f t="shared" si="0"/>
        <v>17000</v>
      </c>
      <c r="Q28">
        <f t="shared" si="1"/>
        <v>850</v>
      </c>
      <c r="R28">
        <f t="shared" si="2"/>
        <v>16150</v>
      </c>
      <c r="S28" t="str">
        <f t="shared" si="3"/>
        <v>Normal</v>
      </c>
      <c r="T28" t="str">
        <f t="shared" si="4"/>
        <v>Low</v>
      </c>
    </row>
    <row r="29" spans="1:20" hidden="1" x14ac:dyDescent="0.25">
      <c r="A29" t="s">
        <v>108</v>
      </c>
      <c r="B29" s="14">
        <v>46189</v>
      </c>
      <c r="C29" t="s">
        <v>74</v>
      </c>
      <c r="D29" t="s">
        <v>75</v>
      </c>
      <c r="E29" s="5" t="s">
        <v>45</v>
      </c>
      <c r="F29" s="5" t="s">
        <v>46</v>
      </c>
      <c r="G29" t="s">
        <v>28</v>
      </c>
      <c r="H29" s="5" t="s">
        <v>84</v>
      </c>
      <c r="I29" t="s">
        <v>30</v>
      </c>
      <c r="J29">
        <v>2</v>
      </c>
      <c r="K29">
        <v>18500</v>
      </c>
      <c r="L29" s="1">
        <v>0.08</v>
      </c>
      <c r="M29" t="s">
        <v>31</v>
      </c>
      <c r="N29">
        <v>7</v>
      </c>
      <c r="O29" t="s">
        <v>32</v>
      </c>
      <c r="P29" s="7">
        <f t="shared" si="0"/>
        <v>37000</v>
      </c>
      <c r="Q29">
        <f t="shared" si="1"/>
        <v>2960</v>
      </c>
      <c r="R29">
        <f t="shared" si="2"/>
        <v>34040</v>
      </c>
      <c r="S29" t="str">
        <f t="shared" si="3"/>
        <v>Delayed</v>
      </c>
      <c r="T29" t="str">
        <f t="shared" si="4"/>
        <v>Medium</v>
      </c>
    </row>
    <row r="30" spans="1:20" hidden="1" x14ac:dyDescent="0.25">
      <c r="A30" t="s">
        <v>109</v>
      </c>
      <c r="B30" s="14">
        <v>46195</v>
      </c>
      <c r="C30" t="s">
        <v>79</v>
      </c>
      <c r="D30" t="s">
        <v>80</v>
      </c>
      <c r="E30" s="5" t="s">
        <v>53</v>
      </c>
      <c r="F30" s="5" t="s">
        <v>54</v>
      </c>
      <c r="G30" t="s">
        <v>28</v>
      </c>
      <c r="H30" s="5" t="s">
        <v>76</v>
      </c>
      <c r="I30" t="s">
        <v>48</v>
      </c>
      <c r="J30">
        <v>8</v>
      </c>
      <c r="K30">
        <v>2500</v>
      </c>
      <c r="L30" s="1">
        <v>0.1</v>
      </c>
      <c r="M30" t="s">
        <v>40</v>
      </c>
      <c r="N30">
        <v>4</v>
      </c>
      <c r="O30" t="s">
        <v>32</v>
      </c>
      <c r="P30" s="7">
        <f t="shared" si="0"/>
        <v>20000</v>
      </c>
      <c r="Q30">
        <f t="shared" si="1"/>
        <v>2000</v>
      </c>
      <c r="R30">
        <f t="shared" si="2"/>
        <v>18000</v>
      </c>
      <c r="S30" t="str">
        <f t="shared" si="3"/>
        <v>Normal</v>
      </c>
      <c r="T30" t="str">
        <f t="shared" si="4"/>
        <v>Low</v>
      </c>
    </row>
    <row r="31" spans="1:20" hidden="1" x14ac:dyDescent="0.25">
      <c r="A31" t="s">
        <v>110</v>
      </c>
      <c r="B31" s="14">
        <v>46202</v>
      </c>
      <c r="C31" t="s">
        <v>83</v>
      </c>
      <c r="D31" t="s">
        <v>59</v>
      </c>
      <c r="E31" s="5" t="s">
        <v>60</v>
      </c>
      <c r="F31" s="5" t="s">
        <v>27</v>
      </c>
      <c r="G31" t="s">
        <v>28</v>
      </c>
      <c r="H31" s="5" t="s">
        <v>55</v>
      </c>
      <c r="I31" t="s">
        <v>30</v>
      </c>
      <c r="J31">
        <v>3</v>
      </c>
      <c r="K31">
        <v>14500</v>
      </c>
      <c r="L31" s="1">
        <v>0.05</v>
      </c>
      <c r="M31" t="s">
        <v>31</v>
      </c>
      <c r="N31">
        <v>3</v>
      </c>
      <c r="O31" t="s">
        <v>32</v>
      </c>
      <c r="P31" s="7">
        <f t="shared" si="0"/>
        <v>43500</v>
      </c>
      <c r="Q31">
        <f t="shared" si="1"/>
        <v>2175</v>
      </c>
      <c r="R31">
        <f t="shared" si="2"/>
        <v>41325</v>
      </c>
      <c r="S31" t="str">
        <f t="shared" si="3"/>
        <v>Fast</v>
      </c>
      <c r="T31" t="str">
        <f t="shared" si="4"/>
        <v>Medium</v>
      </c>
    </row>
    <row r="32" spans="1:20" x14ac:dyDescent="0.25">
      <c r="A32" t="s">
        <v>111</v>
      </c>
      <c r="B32" s="14">
        <v>46208</v>
      </c>
      <c r="C32" t="s">
        <v>24</v>
      </c>
      <c r="D32" t="s">
        <v>25</v>
      </c>
      <c r="E32" s="5" t="s">
        <v>26</v>
      </c>
      <c r="F32" s="5" t="s">
        <v>27</v>
      </c>
      <c r="G32" t="s">
        <v>28</v>
      </c>
      <c r="H32" s="5" t="s">
        <v>29</v>
      </c>
      <c r="I32" t="s">
        <v>30</v>
      </c>
      <c r="J32">
        <v>1</v>
      </c>
      <c r="K32">
        <v>65000</v>
      </c>
      <c r="L32" s="1">
        <v>0.05</v>
      </c>
      <c r="M32" t="s">
        <v>40</v>
      </c>
      <c r="N32">
        <v>4</v>
      </c>
      <c r="O32" t="s">
        <v>32</v>
      </c>
      <c r="P32" s="7">
        <f t="shared" si="0"/>
        <v>65000</v>
      </c>
      <c r="Q32">
        <f t="shared" si="1"/>
        <v>3250</v>
      </c>
      <c r="R32">
        <f t="shared" si="2"/>
        <v>61750</v>
      </c>
      <c r="S32" t="str">
        <f t="shared" si="3"/>
        <v>Normal</v>
      </c>
      <c r="T32" t="str">
        <f t="shared" si="4"/>
        <v>High</v>
      </c>
    </row>
    <row r="33" spans="1:20" hidden="1" x14ac:dyDescent="0.25">
      <c r="A33" t="s">
        <v>112</v>
      </c>
      <c r="B33" s="14">
        <v>46214</v>
      </c>
      <c r="C33" t="s">
        <v>35</v>
      </c>
      <c r="D33" t="s">
        <v>36</v>
      </c>
      <c r="E33" s="5" t="s">
        <v>37</v>
      </c>
      <c r="F33" s="5" t="s">
        <v>27</v>
      </c>
      <c r="G33" t="s">
        <v>28</v>
      </c>
      <c r="H33" s="5" t="s">
        <v>84</v>
      </c>
      <c r="I33" t="s">
        <v>30</v>
      </c>
      <c r="J33">
        <v>2</v>
      </c>
      <c r="K33">
        <v>18500</v>
      </c>
      <c r="L33" s="1">
        <v>0.1</v>
      </c>
      <c r="M33" t="s">
        <v>31</v>
      </c>
      <c r="N33">
        <v>6</v>
      </c>
      <c r="O33" t="s">
        <v>32</v>
      </c>
      <c r="P33" s="7">
        <f t="shared" si="0"/>
        <v>37000</v>
      </c>
      <c r="Q33">
        <f t="shared" si="1"/>
        <v>3700</v>
      </c>
      <c r="R33">
        <f t="shared" si="2"/>
        <v>33300</v>
      </c>
      <c r="S33" t="str">
        <f t="shared" si="3"/>
        <v>Normal</v>
      </c>
      <c r="T33" t="str">
        <f t="shared" si="4"/>
        <v>Medium</v>
      </c>
    </row>
    <row r="34" spans="1:20" hidden="1" x14ac:dyDescent="0.25">
      <c r="A34" t="s">
        <v>113</v>
      </c>
      <c r="B34" s="14">
        <v>46220</v>
      </c>
      <c r="C34" t="s">
        <v>43</v>
      </c>
      <c r="D34" t="s">
        <v>44</v>
      </c>
      <c r="E34" s="5" t="s">
        <v>45</v>
      </c>
      <c r="F34" s="5" t="s">
        <v>46</v>
      </c>
      <c r="G34" t="s">
        <v>28</v>
      </c>
      <c r="H34" s="5" t="s">
        <v>71</v>
      </c>
      <c r="I34" t="s">
        <v>39</v>
      </c>
      <c r="J34">
        <v>2</v>
      </c>
      <c r="K34">
        <v>12000</v>
      </c>
      <c r="L34" s="1">
        <v>0.05</v>
      </c>
      <c r="M34" t="s">
        <v>40</v>
      </c>
      <c r="N34">
        <v>5</v>
      </c>
      <c r="O34" t="s">
        <v>32</v>
      </c>
      <c r="P34" s="7">
        <f t="shared" si="0"/>
        <v>24000</v>
      </c>
      <c r="Q34">
        <f t="shared" si="1"/>
        <v>1200</v>
      </c>
      <c r="R34">
        <f t="shared" si="2"/>
        <v>22800</v>
      </c>
      <c r="S34" t="str">
        <f t="shared" si="3"/>
        <v>Normal</v>
      </c>
      <c r="T34" t="str">
        <f t="shared" si="4"/>
        <v>Medium</v>
      </c>
    </row>
    <row r="35" spans="1:20" hidden="1" x14ac:dyDescent="0.25">
      <c r="A35" t="s">
        <v>114</v>
      </c>
      <c r="B35" s="14">
        <v>46226</v>
      </c>
      <c r="C35" t="s">
        <v>51</v>
      </c>
      <c r="D35" t="s">
        <v>52</v>
      </c>
      <c r="E35" s="5" t="s">
        <v>53</v>
      </c>
      <c r="F35" s="5" t="s">
        <v>54</v>
      </c>
      <c r="G35" t="s">
        <v>28</v>
      </c>
      <c r="H35" s="5" t="s">
        <v>61</v>
      </c>
      <c r="I35" t="s">
        <v>48</v>
      </c>
      <c r="J35">
        <v>9</v>
      </c>
      <c r="K35">
        <v>1800</v>
      </c>
      <c r="L35" s="1">
        <v>0</v>
      </c>
      <c r="M35" t="s">
        <v>31</v>
      </c>
      <c r="N35">
        <v>2</v>
      </c>
      <c r="O35" t="s">
        <v>32</v>
      </c>
      <c r="P35" s="7">
        <f t="shared" si="0"/>
        <v>16200</v>
      </c>
      <c r="Q35">
        <f t="shared" si="1"/>
        <v>0</v>
      </c>
      <c r="R35">
        <f t="shared" si="2"/>
        <v>16200</v>
      </c>
      <c r="S35" t="str">
        <f t="shared" si="3"/>
        <v>Fast</v>
      </c>
      <c r="T35" t="str">
        <f t="shared" si="4"/>
        <v>Low</v>
      </c>
    </row>
    <row r="36" spans="1:20" hidden="1" x14ac:dyDescent="0.25">
      <c r="A36" t="s">
        <v>115</v>
      </c>
      <c r="B36" s="14">
        <v>46232</v>
      </c>
      <c r="C36" t="s">
        <v>58</v>
      </c>
      <c r="D36" t="s">
        <v>59</v>
      </c>
      <c r="E36" s="5" t="s">
        <v>60</v>
      </c>
      <c r="F36" s="5" t="s">
        <v>27</v>
      </c>
      <c r="G36" t="s">
        <v>28</v>
      </c>
      <c r="H36" s="5" t="s">
        <v>38</v>
      </c>
      <c r="I36" t="s">
        <v>39</v>
      </c>
      <c r="J36">
        <v>3</v>
      </c>
      <c r="K36">
        <v>8500</v>
      </c>
      <c r="L36" s="1">
        <v>0.08</v>
      </c>
      <c r="M36" t="s">
        <v>40</v>
      </c>
      <c r="N36">
        <v>8</v>
      </c>
      <c r="O36" t="s">
        <v>32</v>
      </c>
      <c r="P36" s="7">
        <f t="shared" si="0"/>
        <v>25500</v>
      </c>
      <c r="Q36">
        <f t="shared" si="1"/>
        <v>2040</v>
      </c>
      <c r="R36">
        <f t="shared" si="2"/>
        <v>23460</v>
      </c>
      <c r="S36" t="str">
        <f t="shared" si="3"/>
        <v>Delayed</v>
      </c>
      <c r="T36" t="str">
        <f t="shared" si="4"/>
        <v>Medium</v>
      </c>
    </row>
    <row r="37" spans="1:20" hidden="1" x14ac:dyDescent="0.25">
      <c r="A37" t="s">
        <v>116</v>
      </c>
      <c r="B37" s="14">
        <v>46238</v>
      </c>
      <c r="C37" t="s">
        <v>65</v>
      </c>
      <c r="D37" t="s">
        <v>66</v>
      </c>
      <c r="E37" s="5" t="s">
        <v>26</v>
      </c>
      <c r="F37" s="5" t="s">
        <v>27</v>
      </c>
      <c r="G37" t="s">
        <v>28</v>
      </c>
      <c r="H37" s="5" t="s">
        <v>55</v>
      </c>
      <c r="I37" t="s">
        <v>30</v>
      </c>
      <c r="J37">
        <v>2</v>
      </c>
      <c r="K37">
        <v>14500</v>
      </c>
      <c r="L37" s="1">
        <v>0.05</v>
      </c>
      <c r="M37" t="s">
        <v>31</v>
      </c>
      <c r="N37">
        <v>4</v>
      </c>
      <c r="O37" t="s">
        <v>32</v>
      </c>
      <c r="P37" s="7">
        <f t="shared" si="0"/>
        <v>29000</v>
      </c>
      <c r="Q37">
        <f t="shared" si="1"/>
        <v>1450</v>
      </c>
      <c r="R37">
        <f t="shared" si="2"/>
        <v>27550</v>
      </c>
      <c r="S37" t="str">
        <f t="shared" si="3"/>
        <v>Normal</v>
      </c>
      <c r="T37" t="str">
        <f t="shared" si="4"/>
        <v>Medium</v>
      </c>
    </row>
    <row r="38" spans="1:20" x14ac:dyDescent="0.25">
      <c r="A38" t="s">
        <v>117</v>
      </c>
      <c r="B38" s="14">
        <v>46244</v>
      </c>
      <c r="C38" t="s">
        <v>69</v>
      </c>
      <c r="D38" t="s">
        <v>70</v>
      </c>
      <c r="E38" s="5" t="s">
        <v>37</v>
      </c>
      <c r="F38" s="5" t="s">
        <v>27</v>
      </c>
      <c r="G38" t="s">
        <v>28</v>
      </c>
      <c r="H38" s="5" t="s">
        <v>29</v>
      </c>
      <c r="I38" t="s">
        <v>30</v>
      </c>
      <c r="J38">
        <v>1</v>
      </c>
      <c r="K38">
        <v>65000</v>
      </c>
      <c r="L38" s="1">
        <v>0.12</v>
      </c>
      <c r="M38" t="s">
        <v>40</v>
      </c>
      <c r="N38">
        <v>5</v>
      </c>
      <c r="O38" t="s">
        <v>32</v>
      </c>
      <c r="P38" s="7">
        <f t="shared" si="0"/>
        <v>65000</v>
      </c>
      <c r="Q38">
        <f t="shared" si="1"/>
        <v>7800</v>
      </c>
      <c r="R38">
        <f t="shared" si="2"/>
        <v>57200</v>
      </c>
      <c r="S38" t="str">
        <f t="shared" si="3"/>
        <v>Normal</v>
      </c>
      <c r="T38" t="str">
        <f t="shared" si="4"/>
        <v>High</v>
      </c>
    </row>
    <row r="39" spans="1:20" hidden="1" x14ac:dyDescent="0.25">
      <c r="A39" t="s">
        <v>118</v>
      </c>
      <c r="B39" s="14">
        <v>46250</v>
      </c>
      <c r="C39" t="s">
        <v>74</v>
      </c>
      <c r="D39" t="s">
        <v>75</v>
      </c>
      <c r="E39" s="5" t="s">
        <v>45</v>
      </c>
      <c r="F39" s="5" t="s">
        <v>46</v>
      </c>
      <c r="G39" t="s">
        <v>28</v>
      </c>
      <c r="H39" s="5" t="s">
        <v>47</v>
      </c>
      <c r="I39" t="s">
        <v>48</v>
      </c>
      <c r="J39">
        <v>12</v>
      </c>
      <c r="K39">
        <v>1200</v>
      </c>
      <c r="L39" s="1">
        <v>0.05</v>
      </c>
      <c r="M39" t="s">
        <v>31</v>
      </c>
      <c r="N39">
        <v>2</v>
      </c>
      <c r="O39" t="s">
        <v>32</v>
      </c>
      <c r="P39" s="7">
        <f t="shared" si="0"/>
        <v>14400</v>
      </c>
      <c r="Q39">
        <f t="shared" si="1"/>
        <v>720</v>
      </c>
      <c r="R39">
        <f t="shared" si="2"/>
        <v>13680</v>
      </c>
      <c r="S39" t="str">
        <f t="shared" si="3"/>
        <v>Fast</v>
      </c>
      <c r="T39" t="str">
        <f t="shared" si="4"/>
        <v>Low</v>
      </c>
    </row>
    <row r="40" spans="1:20" hidden="1" x14ac:dyDescent="0.25">
      <c r="A40" t="s">
        <v>119</v>
      </c>
      <c r="B40" s="14">
        <v>46256</v>
      </c>
      <c r="C40" t="s">
        <v>79</v>
      </c>
      <c r="D40" t="s">
        <v>80</v>
      </c>
      <c r="E40" s="5" t="s">
        <v>53</v>
      </c>
      <c r="F40" s="5" t="s">
        <v>54</v>
      </c>
      <c r="G40" t="s">
        <v>28</v>
      </c>
      <c r="H40" s="5" t="s">
        <v>71</v>
      </c>
      <c r="I40" t="s">
        <v>39</v>
      </c>
      <c r="J40">
        <v>2</v>
      </c>
      <c r="K40">
        <v>12000</v>
      </c>
      <c r="L40" s="1">
        <v>0.1</v>
      </c>
      <c r="M40" t="s">
        <v>40</v>
      </c>
      <c r="N40">
        <v>7</v>
      </c>
      <c r="O40" t="s">
        <v>32</v>
      </c>
      <c r="P40" s="7">
        <f t="shared" si="0"/>
        <v>24000</v>
      </c>
      <c r="Q40">
        <f t="shared" si="1"/>
        <v>2400</v>
      </c>
      <c r="R40">
        <f t="shared" si="2"/>
        <v>21600</v>
      </c>
      <c r="S40" t="str">
        <f t="shared" si="3"/>
        <v>Delayed</v>
      </c>
      <c r="T40" t="str">
        <f t="shared" si="4"/>
        <v>Medium</v>
      </c>
    </row>
    <row r="41" spans="1:20" x14ac:dyDescent="0.25">
      <c r="A41" t="s">
        <v>120</v>
      </c>
      <c r="B41" s="14">
        <v>46262</v>
      </c>
      <c r="C41" t="s">
        <v>83</v>
      </c>
      <c r="D41" t="s">
        <v>59</v>
      </c>
      <c r="E41" s="5" t="s">
        <v>60</v>
      </c>
      <c r="F41" s="5" t="s">
        <v>27</v>
      </c>
      <c r="G41" t="s">
        <v>28</v>
      </c>
      <c r="H41" s="5" t="s">
        <v>84</v>
      </c>
      <c r="I41" t="s">
        <v>30</v>
      </c>
      <c r="J41">
        <v>3</v>
      </c>
      <c r="K41">
        <v>18500</v>
      </c>
      <c r="L41" s="1">
        <v>0.05</v>
      </c>
      <c r="M41" t="s">
        <v>31</v>
      </c>
      <c r="N41">
        <v>4</v>
      </c>
      <c r="O41" t="s">
        <v>32</v>
      </c>
      <c r="P41" s="7">
        <f t="shared" si="0"/>
        <v>55500</v>
      </c>
      <c r="Q41">
        <f t="shared" si="1"/>
        <v>2775</v>
      </c>
      <c r="R41">
        <f t="shared" si="2"/>
        <v>52725</v>
      </c>
      <c r="S41" t="str">
        <f t="shared" si="3"/>
        <v>Normal</v>
      </c>
      <c r="T41" t="str">
        <f t="shared" si="4"/>
        <v>High</v>
      </c>
    </row>
    <row r="42" spans="1:20" hidden="1" x14ac:dyDescent="0.25">
      <c r="A42" t="s">
        <v>121</v>
      </c>
      <c r="B42" s="14">
        <v>46268</v>
      </c>
      <c r="C42" t="s">
        <v>24</v>
      </c>
      <c r="D42" t="s">
        <v>25</v>
      </c>
      <c r="E42" s="5" t="s">
        <v>26</v>
      </c>
      <c r="F42" s="5" t="s">
        <v>27</v>
      </c>
      <c r="G42" t="s">
        <v>28</v>
      </c>
      <c r="H42" s="5" t="s">
        <v>76</v>
      </c>
      <c r="I42" t="s">
        <v>48</v>
      </c>
      <c r="J42">
        <v>5</v>
      </c>
      <c r="K42">
        <v>2500</v>
      </c>
      <c r="L42" s="1">
        <v>0</v>
      </c>
      <c r="M42" t="s">
        <v>31</v>
      </c>
      <c r="N42">
        <v>3</v>
      </c>
      <c r="O42" t="s">
        <v>32</v>
      </c>
      <c r="P42" s="7">
        <f t="shared" si="0"/>
        <v>12500</v>
      </c>
      <c r="Q42">
        <f t="shared" si="1"/>
        <v>0</v>
      </c>
      <c r="R42">
        <f t="shared" si="2"/>
        <v>12500</v>
      </c>
      <c r="S42" t="str">
        <f t="shared" si="3"/>
        <v>Fast</v>
      </c>
      <c r="T42" t="str">
        <f t="shared" si="4"/>
        <v>Low</v>
      </c>
    </row>
    <row r="43" spans="1:20" hidden="1" x14ac:dyDescent="0.25">
      <c r="A43" t="s">
        <v>122</v>
      </c>
      <c r="B43" s="14">
        <v>46274</v>
      </c>
      <c r="C43" t="s">
        <v>35</v>
      </c>
      <c r="D43" t="s">
        <v>36</v>
      </c>
      <c r="E43" s="5" t="s">
        <v>37</v>
      </c>
      <c r="F43" s="5" t="s">
        <v>27</v>
      </c>
      <c r="G43" t="s">
        <v>28</v>
      </c>
      <c r="H43" s="5" t="s">
        <v>55</v>
      </c>
      <c r="I43" t="s">
        <v>30</v>
      </c>
      <c r="J43">
        <v>2</v>
      </c>
      <c r="K43">
        <v>14500</v>
      </c>
      <c r="L43" s="1">
        <v>0.08</v>
      </c>
      <c r="M43" t="s">
        <v>40</v>
      </c>
      <c r="N43">
        <v>5</v>
      </c>
      <c r="O43" t="s">
        <v>32</v>
      </c>
      <c r="P43" s="7">
        <f t="shared" si="0"/>
        <v>29000</v>
      </c>
      <c r="Q43">
        <f t="shared" si="1"/>
        <v>2320</v>
      </c>
      <c r="R43">
        <f t="shared" si="2"/>
        <v>26680</v>
      </c>
      <c r="S43" t="str">
        <f t="shared" si="3"/>
        <v>Normal</v>
      </c>
      <c r="T43" t="str">
        <f t="shared" si="4"/>
        <v>Medium</v>
      </c>
    </row>
    <row r="44" spans="1:20" x14ac:dyDescent="0.25">
      <c r="A44" t="s">
        <v>123</v>
      </c>
      <c r="B44" s="14">
        <v>46280</v>
      </c>
      <c r="C44" t="s">
        <v>43</v>
      </c>
      <c r="D44" t="s">
        <v>44</v>
      </c>
      <c r="E44" s="5" t="s">
        <v>45</v>
      </c>
      <c r="F44" s="5" t="s">
        <v>46</v>
      </c>
      <c r="G44" t="s">
        <v>28</v>
      </c>
      <c r="H44" s="5" t="s">
        <v>29</v>
      </c>
      <c r="I44" t="s">
        <v>30</v>
      </c>
      <c r="J44">
        <v>2</v>
      </c>
      <c r="K44">
        <v>65000</v>
      </c>
      <c r="L44" s="1">
        <v>0.1</v>
      </c>
      <c r="M44" t="s">
        <v>31</v>
      </c>
      <c r="N44">
        <v>7</v>
      </c>
      <c r="O44" t="s">
        <v>32</v>
      </c>
      <c r="P44" s="7">
        <f t="shared" si="0"/>
        <v>130000</v>
      </c>
      <c r="Q44">
        <f t="shared" si="1"/>
        <v>13000</v>
      </c>
      <c r="R44">
        <f t="shared" si="2"/>
        <v>117000</v>
      </c>
      <c r="S44" t="str">
        <f t="shared" si="3"/>
        <v>Delayed</v>
      </c>
      <c r="T44" t="str">
        <f t="shared" si="4"/>
        <v>High</v>
      </c>
    </row>
    <row r="45" spans="1:20" hidden="1" x14ac:dyDescent="0.25">
      <c r="A45" t="s">
        <v>124</v>
      </c>
      <c r="B45" s="14">
        <v>46286</v>
      </c>
      <c r="C45" t="s">
        <v>51</v>
      </c>
      <c r="D45" t="s">
        <v>52</v>
      </c>
      <c r="E45" s="5" t="s">
        <v>53</v>
      </c>
      <c r="F45" s="5" t="s">
        <v>54</v>
      </c>
      <c r="G45" t="s">
        <v>28</v>
      </c>
      <c r="H45" s="5" t="s">
        <v>38</v>
      </c>
      <c r="I45" t="s">
        <v>39</v>
      </c>
      <c r="J45">
        <v>4</v>
      </c>
      <c r="K45">
        <v>8500</v>
      </c>
      <c r="L45" s="1">
        <v>0.05</v>
      </c>
      <c r="M45" t="s">
        <v>40</v>
      </c>
      <c r="N45">
        <v>4</v>
      </c>
      <c r="O45" t="s">
        <v>32</v>
      </c>
      <c r="P45" s="7">
        <f t="shared" si="0"/>
        <v>34000</v>
      </c>
      <c r="Q45">
        <f t="shared" si="1"/>
        <v>1700</v>
      </c>
      <c r="R45">
        <f t="shared" si="2"/>
        <v>32300</v>
      </c>
      <c r="S45" t="str">
        <f t="shared" si="3"/>
        <v>Normal</v>
      </c>
      <c r="T45" t="str">
        <f t="shared" si="4"/>
        <v>Medium</v>
      </c>
    </row>
    <row r="46" spans="1:20" hidden="1" x14ac:dyDescent="0.25">
      <c r="A46" t="s">
        <v>125</v>
      </c>
      <c r="B46" s="14">
        <v>46291</v>
      </c>
      <c r="C46" t="s">
        <v>58</v>
      </c>
      <c r="D46" t="s">
        <v>59</v>
      </c>
      <c r="E46" s="5" t="s">
        <v>60</v>
      </c>
      <c r="F46" s="5" t="s">
        <v>27</v>
      </c>
      <c r="G46" t="s">
        <v>28</v>
      </c>
      <c r="H46" s="5" t="s">
        <v>61</v>
      </c>
      <c r="I46" t="s">
        <v>48</v>
      </c>
      <c r="J46">
        <v>8</v>
      </c>
      <c r="K46">
        <v>1800</v>
      </c>
      <c r="L46" s="1">
        <v>0</v>
      </c>
      <c r="M46" t="s">
        <v>62</v>
      </c>
      <c r="N46">
        <v>2</v>
      </c>
      <c r="O46" t="s">
        <v>32</v>
      </c>
      <c r="P46" s="7">
        <f t="shared" si="0"/>
        <v>14400</v>
      </c>
      <c r="Q46">
        <f t="shared" si="1"/>
        <v>0</v>
      </c>
      <c r="R46">
        <f t="shared" si="2"/>
        <v>14400</v>
      </c>
      <c r="S46" t="str">
        <f t="shared" si="3"/>
        <v>Fast</v>
      </c>
      <c r="T46" t="str">
        <f t="shared" si="4"/>
        <v>Low</v>
      </c>
    </row>
    <row r="49" spans="2:16" ht="15.75" thickBot="1" x14ac:dyDescent="0.3"/>
    <row r="50" spans="2:16" ht="31.5" thickTop="1" thickBot="1" x14ac:dyDescent="0.3">
      <c r="L50" s="20" t="s">
        <v>126</v>
      </c>
      <c r="M50" s="21" t="s">
        <v>127</v>
      </c>
      <c r="N50" s="22" t="s">
        <v>128</v>
      </c>
      <c r="O50" s="23" t="s">
        <v>41</v>
      </c>
      <c r="P50" s="24" t="s">
        <v>11</v>
      </c>
    </row>
    <row r="51" spans="2:16" ht="16.5" thickTop="1" thickBot="1" x14ac:dyDescent="0.3">
      <c r="B51" s="92" t="s">
        <v>3</v>
      </c>
      <c r="C51" s="93" t="s">
        <v>19</v>
      </c>
      <c r="L51" s="25" t="s">
        <v>25</v>
      </c>
      <c r="M51" s="26" t="e">
        <f t="array" aca="1" ref="M51" ca="1">_xlfn.XLOOKUP(L51,Table[CustomerName],COUNTIFS(Table[CustomerName],Table[CustomerName]))</f>
        <v>#NAME?</v>
      </c>
      <c r="N51" s="27" t="e">
        <f t="array" aca="1" ref="N51" ca="1">_xlfn.XLOOKUP(L51,Table[CustomerName],SUMIFS(Table[Net Sales],Table[CustomerName],Table[CustomerName]))</f>
        <v>#NAME?</v>
      </c>
      <c r="O51" s="26" t="e">
        <f t="array" aca="1" ref="O51" ca="1">_xlfn.XLOOKUP(L51,Table[CustomerName],AVERAGEIFS(Table[Net Sales],Table[CustomerName],Table[CustomerName]))</f>
        <v>#NAME?</v>
      </c>
      <c r="P51" s="28" t="e">
        <f t="array" aca="1" ref="P51" ca="1">_xlfn.XLOOKUP(L51,Table[CustomerName],SUMIFS(Table[Quantity],Table[CustomerName],Table[CustomerName]))</f>
        <v>#NAME?</v>
      </c>
    </row>
    <row r="52" spans="2:16" ht="16.5" thickTop="1" thickBot="1" x14ac:dyDescent="0.3">
      <c r="B52" s="94" t="s">
        <v>23</v>
      </c>
      <c r="C52" s="95">
        <v>123500</v>
      </c>
      <c r="L52" s="25" t="s">
        <v>36</v>
      </c>
      <c r="M52" s="26" t="e">
        <f t="array" aca="1" ref="M52" ca="1">_xlfn.XLOOKUP(L52,Table[CustomerName],COUNTIFS(Table[CustomerName],Table[CustomerName]))</f>
        <v>#NAME?</v>
      </c>
      <c r="N52" s="27" t="e">
        <f t="array" aca="1" ref="N52" ca="1">_xlfn.XLOOKUP(L52,Table[CustomerName],SUMIFS(Table[Net Sales],Table[CustomerName],Table[CustomerName]))</f>
        <v>#NAME?</v>
      </c>
      <c r="O52" s="26" t="e">
        <f t="array" aca="1" ref="O52" ca="1">_xlfn.XLOOKUP(L52,Table[CustomerName],AVERAGEIFS(Table[Net Sales],Table[CustomerName],Table[CustomerName]))</f>
        <v>#NAME?</v>
      </c>
      <c r="P52" s="28" t="e">
        <f t="array" aca="1" ref="P52" ca="1">_xlfn.XLOOKUP(L52,Table[CustomerName],SUMIFS(Table[Quantity],Table[CustomerName],Table[CustomerName]))</f>
        <v>#NAME?</v>
      </c>
    </row>
    <row r="53" spans="2:16" ht="16.5" thickTop="1" thickBot="1" x14ac:dyDescent="0.3">
      <c r="B53" s="96" t="s">
        <v>64</v>
      </c>
      <c r="C53" s="97">
        <v>58500</v>
      </c>
      <c r="L53" s="29" t="s">
        <v>44</v>
      </c>
      <c r="M53" s="30" t="e">
        <f t="array" aca="1" ref="M53" ca="1">_xlfn.XLOOKUP(L53,Table[CustomerName],COUNTIFS(Table[CustomerName],Table[CustomerName]))</f>
        <v>#NAME?</v>
      </c>
      <c r="N53" s="31" t="e">
        <f t="array" aca="1" ref="N53" ca="1">_xlfn.XLOOKUP(L53,Table[CustomerName],SUMIFS(Table[Net Sales],Table[CustomerName],Table[CustomerName]))</f>
        <v>#NAME?</v>
      </c>
      <c r="O53" s="30" t="e">
        <f t="array" aca="1" ref="O53" ca="1">_xlfn.XLOOKUP(L53,Table[CustomerName],AVERAGEIFS(Table[Net Sales],Table[CustomerName],Table[CustomerName]))</f>
        <v>#NAME?</v>
      </c>
      <c r="P53" s="32" t="e">
        <f t="array" aca="1" ref="P53" ca="1">_xlfn.XLOOKUP(L53,Table[CustomerName],SUMIFS(Table[Quantity],Table[CustomerName],Table[CustomerName]))</f>
        <v>#NAME?</v>
      </c>
    </row>
    <row r="54" spans="2:16" ht="16.5" thickTop="1" thickBot="1" x14ac:dyDescent="0.3">
      <c r="B54" s="94" t="s">
        <v>88</v>
      </c>
      <c r="C54" s="95">
        <v>110500</v>
      </c>
      <c r="L54" s="25" t="s">
        <v>52</v>
      </c>
      <c r="M54" s="26" t="e">
        <f t="array" aca="1" ref="M54" ca="1">_xlfn.XLOOKUP(L54,Table[CustomerName],COUNTIFS(Table[CustomerName],Table[CustomerName]))</f>
        <v>#NAME?</v>
      </c>
      <c r="N54" s="27" t="e">
        <f t="array" aca="1" ref="N54" ca="1">_xlfn.XLOOKUP(L54,Table[CustomerName],SUMIFS(Table[Net Sales],Table[CustomerName],Table[CustomerName]))</f>
        <v>#NAME?</v>
      </c>
      <c r="O54" s="26" t="e">
        <f t="array" aca="1" ref="O54" ca="1">_xlfn.XLOOKUP(L54,Table[CustomerName],AVERAGEIFS(Table[Net Sales],Table[CustomerName],Table[CustomerName]))</f>
        <v>#NAME?</v>
      </c>
      <c r="P54" s="28" t="e">
        <f t="array" aca="1" ref="P54" ca="1">_xlfn.XLOOKUP(L54,Table[CustomerName],SUMIFS(Table[Quantity],Table[CustomerName],Table[CustomerName]))</f>
        <v>#NAME?</v>
      </c>
    </row>
    <row r="55" spans="2:16" ht="16.5" thickTop="1" thickBot="1" x14ac:dyDescent="0.3">
      <c r="B55" s="96" t="s">
        <v>96</v>
      </c>
      <c r="C55" s="97">
        <v>51060</v>
      </c>
      <c r="L55" s="25" t="s">
        <v>59</v>
      </c>
      <c r="M55" s="26" t="e">
        <f t="array" aca="1" ref="M55" ca="1">_xlfn.XLOOKUP(L55,Table[CustomerName],COUNTIFS(Table[CustomerName],Table[CustomerName]))</f>
        <v>#NAME?</v>
      </c>
      <c r="N55" s="27" t="e">
        <f t="array" aca="1" ref="N55" ca="1">_xlfn.XLOOKUP(L55,Table[CustomerName],SUMIFS(Table[Net Sales],Table[CustomerName],Table[CustomerName]))</f>
        <v>#NAME?</v>
      </c>
      <c r="O55" s="26" t="e">
        <f t="array" aca="1" ref="O55" ca="1">_xlfn.XLOOKUP(L55,Table[CustomerName],AVERAGEIFS(Table[Net Sales],Table[CustomerName],Table[CustomerName]))</f>
        <v>#NAME?</v>
      </c>
      <c r="P55" s="28" t="e">
        <f t="array" aca="1" ref="P55" ca="1">_xlfn.XLOOKUP(L55,Table[CustomerName],SUMIFS(Table[Quantity],Table[CustomerName],Table[CustomerName]))</f>
        <v>#NAME?</v>
      </c>
    </row>
    <row r="56" spans="2:16" ht="16.5" thickTop="1" thickBot="1" x14ac:dyDescent="0.3">
      <c r="B56" s="94" t="s">
        <v>99</v>
      </c>
      <c r="C56" s="95">
        <v>61750</v>
      </c>
      <c r="L56" s="25" t="s">
        <v>66</v>
      </c>
      <c r="M56" s="26" t="e">
        <f t="array" aca="1" ref="M56" ca="1">_xlfn.XLOOKUP(L56,Table[CustomerName],COUNTIFS(Table[CustomerName],Table[CustomerName]))</f>
        <v>#NAME?</v>
      </c>
      <c r="N56" s="27" t="e">
        <f t="array" aca="1" ref="N56" ca="1">_xlfn.XLOOKUP(L56,Table[CustomerName],SUMIFS(Table[Net Sales],Table[CustomerName],Table[CustomerName]))</f>
        <v>#NAME?</v>
      </c>
      <c r="O56" s="26" t="e">
        <f t="array" aca="1" ref="O56" ca="1">_xlfn.XLOOKUP(L56,Table[CustomerName],AVERAGEIFS(Table[Net Sales],Table[CustomerName],Table[CustomerName]))</f>
        <v>#NAME?</v>
      </c>
      <c r="P56" s="28" t="e">
        <f t="array" aca="1" ref="P56" ca="1">_xlfn.XLOOKUP(L56,Table[CustomerName],SUMIFS(Table[Quantity],Table[CustomerName],Table[CustomerName]))</f>
        <v>#NAME?</v>
      </c>
    </row>
    <row r="57" spans="2:16" ht="16.5" thickTop="1" thickBot="1" x14ac:dyDescent="0.3">
      <c r="B57" s="96" t="s">
        <v>105</v>
      </c>
      <c r="C57" s="97">
        <v>58500</v>
      </c>
      <c r="L57" s="25" t="s">
        <v>70</v>
      </c>
      <c r="M57" s="26" t="e">
        <f t="array" aca="1" ref="M57" ca="1">_xlfn.XLOOKUP(L57,Table[CustomerName],COUNTIFS(Table[CustomerName],Table[CustomerName]))</f>
        <v>#NAME?</v>
      </c>
      <c r="N57" s="27" t="e">
        <f t="array" aca="1" ref="N57" ca="1">_xlfn.XLOOKUP(L57,Table[CustomerName],SUMIFS(Table[Net Sales],Table[CustomerName],Table[CustomerName]))</f>
        <v>#NAME?</v>
      </c>
      <c r="O57" s="26" t="e">
        <f t="array" aca="1" ref="O57" ca="1">_xlfn.XLOOKUP(L57,Table[CustomerName],AVERAGEIFS(Table[Net Sales],Table[CustomerName],Table[CustomerName]))</f>
        <v>#NAME?</v>
      </c>
      <c r="P57" s="28" t="e">
        <f t="array" aca="1" ref="P57" ca="1">_xlfn.XLOOKUP(L57,Table[CustomerName],SUMIFS(Table[Quantity],Table[CustomerName],Table[CustomerName]))</f>
        <v>#NAME?</v>
      </c>
    </row>
    <row r="58" spans="2:16" ht="16.5" thickTop="1" thickBot="1" x14ac:dyDescent="0.3">
      <c r="B58" s="94" t="s">
        <v>111</v>
      </c>
      <c r="C58" s="95">
        <v>61750</v>
      </c>
      <c r="L58" s="29" t="s">
        <v>75</v>
      </c>
      <c r="M58" s="30" t="e">
        <f t="array" aca="1" ref="M58" ca="1">_xlfn.XLOOKUP(L58,Table[CustomerName],COUNTIFS(Table[CustomerName],Table[CustomerName]))</f>
        <v>#NAME?</v>
      </c>
      <c r="N58" s="31" t="e">
        <f t="array" aca="1" ref="N58" ca="1">_xlfn.XLOOKUP(L58,Table[CustomerName],SUMIFS(Table[Net Sales],Table[CustomerName],Table[CustomerName]))</f>
        <v>#NAME?</v>
      </c>
      <c r="O58" s="30" t="e">
        <f t="array" aca="1" ref="O58" ca="1">_xlfn.XLOOKUP(L58,Table[CustomerName],AVERAGEIFS(Table[Net Sales],Table[CustomerName],Table[CustomerName]))</f>
        <v>#NAME?</v>
      </c>
      <c r="P58" s="32" t="e">
        <f t="array" aca="1" ref="P58" ca="1">_xlfn.XLOOKUP(L58,Table[CustomerName],SUMIFS(Table[Quantity],Table[CustomerName],Table[CustomerName]))</f>
        <v>#NAME?</v>
      </c>
    </row>
    <row r="59" spans="2:16" ht="16.5" thickTop="1" thickBot="1" x14ac:dyDescent="0.3">
      <c r="B59" s="96" t="s">
        <v>117</v>
      </c>
      <c r="C59" s="97">
        <v>57200</v>
      </c>
      <c r="L59" s="29" t="s">
        <v>80</v>
      </c>
      <c r="M59" s="30" t="e">
        <f t="array" aca="1" ref="M59" ca="1">_xlfn.XLOOKUP(L59,Table[CustomerName],COUNTIFS(Table[CustomerName],Table[CustomerName]))</f>
        <v>#NAME?</v>
      </c>
      <c r="N59" s="33" t="e">
        <f t="array" aca="1" ref="N59" ca="1">_xlfn.XLOOKUP(L59,Table[CustomerName],SUMIFS(Table[Net Sales],Table[CustomerName],Table[CustomerName]))</f>
        <v>#NAME?</v>
      </c>
      <c r="O59" s="26" t="e">
        <f t="array" aca="1" ref="O59" ca="1">_xlfn.XLOOKUP(L59,Table[CustomerName],AVERAGEIFS(Table[Net Sales],Table[CustomerName],Table[CustomerName]))</f>
        <v>#NAME?</v>
      </c>
      <c r="P59" s="32" t="e">
        <f t="array" aca="1" ref="P59" ca="1">_xlfn.XLOOKUP(L59,Table[CustomerName],SUMIFS(Table[Quantity],Table[CustomerName],Table[CustomerName]))</f>
        <v>#NAME?</v>
      </c>
    </row>
    <row r="60" spans="2:16" ht="15.75" thickTop="1" x14ac:dyDescent="0.25">
      <c r="B60" s="94" t="s">
        <v>120</v>
      </c>
      <c r="C60" s="95">
        <v>52725</v>
      </c>
      <c r="N60" s="19"/>
      <c r="O60" s="19"/>
    </row>
    <row r="61" spans="2:16" x14ac:dyDescent="0.25">
      <c r="B61" s="103" t="s">
        <v>123</v>
      </c>
      <c r="C61" s="102">
        <v>117000</v>
      </c>
    </row>
  </sheetData>
  <sortState ref="A2:O46">
    <sortCondition ref="B2:B46"/>
  </sortState>
  <mergeCells count="1">
    <mergeCell ref="V1:W1"/>
  </mergeCells>
  <conditionalFormatting sqref="N2:N46">
    <cfRule type="cellIs" dxfId="117" priority="1" operator="greaterThan">
      <formula>7</formula>
    </cfRule>
  </conditionalFormatting>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Views>
    <sheetView topLeftCell="A31" zoomScale="95" zoomScaleNormal="95" workbookViewId="0">
      <selection activeCell="T41" sqref="T41"/>
    </sheetView>
  </sheetViews>
  <sheetFormatPr defaultRowHeight="15" x14ac:dyDescent="0.25"/>
  <cols>
    <col min="1" max="1" width="12.28515625" customWidth="1"/>
  </cols>
  <sheetData>
    <row r="1" spans="1:22" ht="26.25" x14ac:dyDescent="0.4">
      <c r="A1" s="34" t="s">
        <v>145</v>
      </c>
      <c r="B1" s="34"/>
      <c r="C1" s="34"/>
      <c r="D1" s="34"/>
      <c r="E1" s="34"/>
      <c r="F1" s="34"/>
      <c r="G1" s="34"/>
      <c r="H1" s="34"/>
      <c r="I1" s="34"/>
      <c r="J1" s="34"/>
      <c r="K1" s="34"/>
      <c r="L1" s="34"/>
      <c r="M1" s="34"/>
      <c r="N1" s="34"/>
      <c r="O1" s="34"/>
      <c r="P1" s="34"/>
    </row>
    <row r="3" spans="1:22" ht="18.75" x14ac:dyDescent="0.3">
      <c r="A3" s="78" t="s">
        <v>128</v>
      </c>
      <c r="B3" s="79"/>
      <c r="C3" s="80"/>
      <c r="E3" s="35" t="s">
        <v>127</v>
      </c>
      <c r="F3" s="36"/>
      <c r="G3" s="37"/>
      <c r="I3" s="44" t="s">
        <v>146</v>
      </c>
      <c r="J3" s="45"/>
      <c r="L3" s="50" t="s">
        <v>41</v>
      </c>
      <c r="M3" s="51"/>
      <c r="N3" s="52"/>
      <c r="P3" s="59" t="s">
        <v>147</v>
      </c>
      <c r="Q3" s="60"/>
      <c r="R3" s="61"/>
      <c r="T3" s="68" t="s">
        <v>95</v>
      </c>
      <c r="U3" s="69"/>
      <c r="V3" s="70"/>
    </row>
    <row r="4" spans="1:22" ht="23.25" x14ac:dyDescent="0.35">
      <c r="A4" s="81">
        <f>SUM(Table[Net Sales])</f>
        <v>1514120</v>
      </c>
      <c r="B4" s="82"/>
      <c r="C4" s="77"/>
      <c r="E4" s="38">
        <f>COUNTA(Table[OrderID])</f>
        <v>45</v>
      </c>
      <c r="F4" s="39"/>
      <c r="G4" s="40"/>
      <c r="I4" s="46">
        <f>SUM(Table[Quantity])</f>
        <v>162</v>
      </c>
      <c r="J4" s="47"/>
      <c r="L4" s="53">
        <f>AVERAGE(Table[Net Sales])</f>
        <v>33647.111111111109</v>
      </c>
      <c r="M4" s="54"/>
      <c r="N4" s="55"/>
      <c r="P4" s="62" t="str">
        <f t="array" ref="P4">INDEX(Table[Category], MATCH(MAX(SUMIFS(Table[Net Sales],Table[Category],Table[Category])),SUMIFS(Table[Net Sales],Table[Category],Table[Category]),0))</f>
        <v>Electronics</v>
      </c>
      <c r="Q4" s="63"/>
      <c r="R4" s="64"/>
      <c r="T4" s="71">
        <f>AVERAGE(Table[DeliveryDays])</f>
        <v>4.4666666666666668</v>
      </c>
      <c r="U4" s="72"/>
      <c r="V4" s="73"/>
    </row>
    <row r="5" spans="1:22" x14ac:dyDescent="0.25">
      <c r="A5" s="83" t="s">
        <v>148</v>
      </c>
      <c r="B5" s="84"/>
      <c r="C5" s="85"/>
      <c r="E5" s="41" t="s">
        <v>149</v>
      </c>
      <c r="F5" s="42"/>
      <c r="G5" s="43"/>
      <c r="I5" s="48" t="s">
        <v>150</v>
      </c>
      <c r="J5" s="49"/>
      <c r="L5" s="56" t="s">
        <v>153</v>
      </c>
      <c r="M5" s="57"/>
      <c r="N5" s="58"/>
      <c r="P5" s="65" t="s">
        <v>151</v>
      </c>
      <c r="Q5" s="66"/>
      <c r="R5" s="67"/>
      <c r="T5" s="74" t="s">
        <v>152</v>
      </c>
      <c r="U5" s="75"/>
      <c r="V5" s="76"/>
    </row>
    <row r="35" spans="16:16" x14ac:dyDescent="0.25">
      <c r="P35" t="s">
        <v>154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Monthly_Sales</vt:lpstr>
      <vt:lpstr>Category Performance</vt:lpstr>
      <vt:lpstr>Regional Performance</vt:lpstr>
      <vt:lpstr>Payment Analysis</vt:lpstr>
      <vt:lpstr>Sheet3</vt:lpstr>
      <vt:lpstr>Sheet4</vt:lpstr>
      <vt:lpstr>Customer Performance</vt:lpstr>
      <vt:lpstr>Sheet5</vt:lpstr>
      <vt:lpstr>Sheet6</vt:lpstr>
      <vt:lpstr>Sheet7</vt:lpstr>
      <vt:lpstr>Sheet1</vt:lpstr>
      <vt:lpstr>Dashboard_Starter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2026-09-27T06:02:50Z</dcterms:created>
  <dcterms:modified xsi:type="dcterms:W3CDTF">2026-09-28T05:36:12Z</dcterms:modified>
  <cp:category/>
  <cp:contentStatus/>
</cp:coreProperties>
</file>